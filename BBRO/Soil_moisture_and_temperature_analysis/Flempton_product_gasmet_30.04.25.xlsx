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7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8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9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20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2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22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23.xml" ContentType="application/vnd.openxmlformats-officedocument.drawing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24.xml" ContentType="application/vnd.openxmlformats-officedocument.drawing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s23jir\Documents\BBRO\Soil_moisture_and_temperature_analysis\"/>
    </mc:Choice>
  </mc:AlternateContent>
  <xr:revisionPtr revIDLastSave="0" documentId="13_ncr:1_{1C103E43-7641-41C3-AF8B-C3253A748C78}" xr6:coauthVersionLast="47" xr6:coauthVersionMax="47" xr10:uidLastSave="{00000000-0000-0000-0000-000000000000}"/>
  <bookViews>
    <workbookView xWindow="-108" yWindow="-108" windowWidth="23256" windowHeight="12456" xr2:uid="{6B6BC1AC-8CE4-4AC2-8E6C-47505F8FC716}"/>
  </bookViews>
  <sheets>
    <sheet name="Summary" sheetId="25" r:id="rId1"/>
    <sheet name="101" sheetId="1" r:id="rId2"/>
    <sheet name="102" sheetId="2" r:id="rId3"/>
    <sheet name="103" sheetId="3" r:id="rId4"/>
    <sheet name="104" sheetId="4" r:id="rId5"/>
    <sheet name="105" sheetId="5" r:id="rId6"/>
    <sheet name="106" sheetId="6" r:id="rId7"/>
    <sheet name="201" sheetId="7" r:id="rId8"/>
    <sheet name="202" sheetId="8" r:id="rId9"/>
    <sheet name="203" sheetId="9" r:id="rId10"/>
    <sheet name="204" sheetId="10" r:id="rId11"/>
    <sheet name="205" sheetId="11" r:id="rId12"/>
    <sheet name="206" sheetId="12" r:id="rId13"/>
    <sheet name="301" sheetId="13" r:id="rId14"/>
    <sheet name="302" sheetId="14" r:id="rId15"/>
    <sheet name="303" sheetId="15" r:id="rId16"/>
    <sheet name="304" sheetId="16" r:id="rId17"/>
    <sheet name="305" sheetId="17" r:id="rId18"/>
    <sheet name="306" sheetId="18" r:id="rId19"/>
    <sheet name="401" sheetId="19" r:id="rId20"/>
    <sheet name="402" sheetId="20" r:id="rId21"/>
    <sheet name="403" sheetId="21" r:id="rId22"/>
    <sheet name="404" sheetId="22" r:id="rId23"/>
    <sheet name="405" sheetId="23" r:id="rId24"/>
    <sheet name="406" sheetId="24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22" l="1"/>
  <c r="AA20" i="24"/>
  <c r="Z20" i="24"/>
  <c r="AH3" i="24"/>
  <c r="AH4" i="24"/>
  <c r="AH5" i="24"/>
  <c r="AH6" i="24"/>
  <c r="AH7" i="24"/>
  <c r="AH8" i="24"/>
  <c r="Q14" i="24" s="1"/>
  <c r="AH9" i="24"/>
  <c r="AH2" i="24"/>
  <c r="L20" i="24"/>
  <c r="Z19" i="23"/>
  <c r="AA19" i="23"/>
  <c r="M19" i="23"/>
  <c r="AH3" i="23"/>
  <c r="AH4" i="23"/>
  <c r="AH5" i="23"/>
  <c r="AH6" i="23"/>
  <c r="AH7" i="23"/>
  <c r="Q13" i="23" s="1"/>
  <c r="AH8" i="23"/>
  <c r="AH9" i="23"/>
  <c r="AH2" i="23"/>
  <c r="L19" i="23"/>
  <c r="C12" i="23" s="1"/>
  <c r="AA20" i="22"/>
  <c r="Z20" i="22"/>
  <c r="AH3" i="22"/>
  <c r="AH4" i="22"/>
  <c r="AH5" i="22"/>
  <c r="AH6" i="22"/>
  <c r="AH7" i="22"/>
  <c r="AH8" i="22"/>
  <c r="AH9" i="22"/>
  <c r="AH2" i="22"/>
  <c r="L20" i="22"/>
  <c r="C13" i="22" s="1"/>
  <c r="AA21" i="21"/>
  <c r="Z21" i="21"/>
  <c r="AH3" i="21"/>
  <c r="AH4" i="21"/>
  <c r="AH5" i="21"/>
  <c r="AH6" i="21"/>
  <c r="AH7" i="21"/>
  <c r="AH8" i="21"/>
  <c r="AH9" i="21"/>
  <c r="AH10" i="21"/>
  <c r="AH2" i="21"/>
  <c r="L21" i="21"/>
  <c r="Z20" i="20"/>
  <c r="AA20" i="20"/>
  <c r="M20" i="20"/>
  <c r="AH3" i="20"/>
  <c r="AH4" i="20"/>
  <c r="AH5" i="20"/>
  <c r="AH6" i="20"/>
  <c r="AH7" i="20"/>
  <c r="AH8" i="20"/>
  <c r="Q14" i="20" s="1"/>
  <c r="AH9" i="20"/>
  <c r="AH10" i="20"/>
  <c r="AH2" i="20"/>
  <c r="L20" i="20"/>
  <c r="C13" i="20" s="1"/>
  <c r="AA20" i="19"/>
  <c r="Z20" i="19"/>
  <c r="M20" i="19"/>
  <c r="AH3" i="19"/>
  <c r="AH4" i="19"/>
  <c r="AH5" i="19"/>
  <c r="AH6" i="19"/>
  <c r="AH7" i="19"/>
  <c r="AH8" i="19"/>
  <c r="AH9" i="19"/>
  <c r="AH2" i="19"/>
  <c r="L20" i="19"/>
  <c r="C13" i="19" s="1"/>
  <c r="AA21" i="18"/>
  <c r="Z21" i="18"/>
  <c r="Q14" i="18" s="1"/>
  <c r="AH3" i="18"/>
  <c r="AH4" i="18"/>
  <c r="AH5" i="18"/>
  <c r="AH6" i="18"/>
  <c r="AH7" i="18"/>
  <c r="AH8" i="18"/>
  <c r="AH9" i="18"/>
  <c r="Q15" i="18" s="1"/>
  <c r="AH10" i="18"/>
  <c r="AH11" i="18"/>
  <c r="AH2" i="18"/>
  <c r="AA21" i="17"/>
  <c r="Z21" i="17"/>
  <c r="M21" i="17"/>
  <c r="M22" i="17" s="1"/>
  <c r="AH3" i="17"/>
  <c r="AH4" i="17"/>
  <c r="AH5" i="17"/>
  <c r="AH6" i="17"/>
  <c r="AH7" i="17"/>
  <c r="AH8" i="17"/>
  <c r="AH9" i="17"/>
  <c r="Q15" i="17" s="1"/>
  <c r="AH10" i="17"/>
  <c r="AH11" i="17"/>
  <c r="AH2" i="17"/>
  <c r="L21" i="17"/>
  <c r="AA21" i="16"/>
  <c r="Z21" i="16"/>
  <c r="M21" i="16"/>
  <c r="AH3" i="16"/>
  <c r="AH4" i="16"/>
  <c r="Q15" i="16" s="1"/>
  <c r="AH5" i="16"/>
  <c r="AH6" i="16"/>
  <c r="AH7" i="16"/>
  <c r="AH8" i="16"/>
  <c r="AH9" i="16"/>
  <c r="AH10" i="16"/>
  <c r="AH2" i="16"/>
  <c r="L21" i="16"/>
  <c r="C14" i="16" s="1"/>
  <c r="AA21" i="15"/>
  <c r="Z21" i="15"/>
  <c r="AH3" i="15"/>
  <c r="AH4" i="15"/>
  <c r="AH5" i="15"/>
  <c r="AH6" i="15"/>
  <c r="AH7" i="15"/>
  <c r="AH8" i="15"/>
  <c r="AH9" i="15"/>
  <c r="AH2" i="15"/>
  <c r="L21" i="15"/>
  <c r="AA21" i="14"/>
  <c r="Z21" i="14"/>
  <c r="M21" i="14"/>
  <c r="AH3" i="14"/>
  <c r="AH4" i="14"/>
  <c r="AH5" i="14"/>
  <c r="AH6" i="14"/>
  <c r="AH7" i="14"/>
  <c r="AH8" i="14"/>
  <c r="AH9" i="14"/>
  <c r="AH10" i="14"/>
  <c r="AH2" i="14"/>
  <c r="L21" i="14"/>
  <c r="C14" i="14" s="1"/>
  <c r="AA21" i="13"/>
  <c r="Z21" i="13"/>
  <c r="Q14" i="13"/>
  <c r="M21" i="13"/>
  <c r="AH3" i="13"/>
  <c r="AH4" i="13"/>
  <c r="AH5" i="13"/>
  <c r="AH6" i="13"/>
  <c r="AH7" i="13"/>
  <c r="AH8" i="13"/>
  <c r="AH9" i="13"/>
  <c r="AH10" i="13"/>
  <c r="AH2" i="13"/>
  <c r="L21" i="13"/>
  <c r="AA20" i="12"/>
  <c r="Z20" i="12"/>
  <c r="Q13" i="12" s="1"/>
  <c r="M20" i="12"/>
  <c r="AH3" i="12"/>
  <c r="AH4" i="12"/>
  <c r="AH5" i="12"/>
  <c r="AH6" i="12"/>
  <c r="AH7" i="12"/>
  <c r="AH8" i="12"/>
  <c r="AH9" i="12"/>
  <c r="AH2" i="12"/>
  <c r="L20" i="12"/>
  <c r="C13" i="12"/>
  <c r="AA20" i="11"/>
  <c r="Z20" i="11"/>
  <c r="M20" i="11"/>
  <c r="AH3" i="11"/>
  <c r="AH4" i="11"/>
  <c r="AH5" i="11"/>
  <c r="AH6" i="11"/>
  <c r="AH7" i="11"/>
  <c r="AH8" i="11"/>
  <c r="AH9" i="11"/>
  <c r="AH2" i="11"/>
  <c r="L20" i="11"/>
  <c r="C13" i="11" s="1"/>
  <c r="AA20" i="10"/>
  <c r="Z20" i="10"/>
  <c r="M20" i="10"/>
  <c r="AH3" i="10"/>
  <c r="AH4" i="10"/>
  <c r="AH5" i="10"/>
  <c r="AH6" i="10"/>
  <c r="AH7" i="10"/>
  <c r="AH8" i="10"/>
  <c r="AH9" i="10"/>
  <c r="AH2" i="10"/>
  <c r="L20" i="10"/>
  <c r="AA20" i="9"/>
  <c r="Q14" i="9" s="1"/>
  <c r="Z20" i="9"/>
  <c r="M20" i="9"/>
  <c r="AH3" i="9"/>
  <c r="AH4" i="9"/>
  <c r="AH5" i="9"/>
  <c r="AH6" i="9"/>
  <c r="AH7" i="9"/>
  <c r="AH8" i="9"/>
  <c r="AH9" i="9"/>
  <c r="AH2" i="9"/>
  <c r="L20" i="9"/>
  <c r="AA21" i="8"/>
  <c r="Z21" i="8"/>
  <c r="Q14" i="8" s="1"/>
  <c r="M21" i="8"/>
  <c r="AH3" i="8"/>
  <c r="AH4" i="8"/>
  <c r="AH5" i="8"/>
  <c r="AH6" i="8"/>
  <c r="AH7" i="8"/>
  <c r="AH8" i="8"/>
  <c r="AH9" i="8"/>
  <c r="AH10" i="8"/>
  <c r="AH11" i="8"/>
  <c r="AH2" i="8"/>
  <c r="L21" i="8"/>
  <c r="AA20" i="7"/>
  <c r="Q14" i="7" s="1"/>
  <c r="Z20" i="7"/>
  <c r="Q13" i="7" s="1"/>
  <c r="M20" i="7"/>
  <c r="AH3" i="7"/>
  <c r="AH4" i="7"/>
  <c r="AH5" i="7"/>
  <c r="AH6" i="7"/>
  <c r="AH7" i="7"/>
  <c r="AH8" i="7"/>
  <c r="AH9" i="7"/>
  <c r="AH2" i="7"/>
  <c r="C14" i="7" s="1"/>
  <c r="L20" i="7"/>
  <c r="C13" i="7" s="1"/>
  <c r="AA22" i="6"/>
  <c r="Q16" i="6" s="1"/>
  <c r="Z22" i="6"/>
  <c r="M22" i="6"/>
  <c r="AH3" i="6"/>
  <c r="AH4" i="6"/>
  <c r="AH5" i="6"/>
  <c r="AH6" i="6"/>
  <c r="AH7" i="6"/>
  <c r="AH8" i="6"/>
  <c r="AH9" i="6"/>
  <c r="AH10" i="6"/>
  <c r="AH11" i="6"/>
  <c r="AH2" i="6"/>
  <c r="L22" i="6"/>
  <c r="AA20" i="5"/>
  <c r="Z20" i="5"/>
  <c r="M20" i="5"/>
  <c r="AH3" i="5"/>
  <c r="AH4" i="5"/>
  <c r="AH5" i="5"/>
  <c r="AH6" i="5"/>
  <c r="AH7" i="5"/>
  <c r="AH8" i="5"/>
  <c r="AH9" i="5"/>
  <c r="AH10" i="5"/>
  <c r="AH2" i="5"/>
  <c r="L20" i="5"/>
  <c r="AA20" i="4"/>
  <c r="Z23" i="4" s="1"/>
  <c r="Z26" i="4" s="1"/>
  <c r="Z20" i="4"/>
  <c r="M20" i="4"/>
  <c r="AH3" i="4"/>
  <c r="AH4" i="4"/>
  <c r="AH5" i="4"/>
  <c r="AH6" i="4"/>
  <c r="AH7" i="4"/>
  <c r="AH8" i="4"/>
  <c r="AH9" i="4"/>
  <c r="AH2" i="4"/>
  <c r="L20" i="4"/>
  <c r="C13" i="4" s="1"/>
  <c r="Z20" i="3"/>
  <c r="Q13" i="3" s="1"/>
  <c r="M20" i="3"/>
  <c r="AH3" i="3"/>
  <c r="AA20" i="3" s="1"/>
  <c r="Q14" i="3" s="1"/>
  <c r="AH4" i="3"/>
  <c r="AH5" i="3"/>
  <c r="AH6" i="3"/>
  <c r="AH7" i="3"/>
  <c r="AH8" i="3"/>
  <c r="AH9" i="3"/>
  <c r="AH2" i="3"/>
  <c r="L20" i="3"/>
  <c r="C13" i="3" s="1"/>
  <c r="U21" i="24"/>
  <c r="G21" i="24"/>
  <c r="M20" i="24"/>
  <c r="L23" i="24" s="1"/>
  <c r="W16" i="24"/>
  <c r="U20" i="24" s="1"/>
  <c r="U22" i="24" s="1"/>
  <c r="I16" i="24"/>
  <c r="G20" i="24" s="1"/>
  <c r="U15" i="24"/>
  <c r="G15" i="24"/>
  <c r="G22" i="24" s="1"/>
  <c r="Q13" i="24"/>
  <c r="C13" i="24"/>
  <c r="U20" i="23"/>
  <c r="G20" i="23"/>
  <c r="U19" i="23"/>
  <c r="G19" i="23"/>
  <c r="W15" i="23"/>
  <c r="I15" i="23"/>
  <c r="U14" i="23"/>
  <c r="U21" i="23" s="1"/>
  <c r="G14" i="23"/>
  <c r="G21" i="23" s="1"/>
  <c r="Q12" i="23"/>
  <c r="U21" i="22"/>
  <c r="G21" i="22"/>
  <c r="C14" i="22"/>
  <c r="G20" i="22"/>
  <c r="G22" i="22" s="1"/>
  <c r="W16" i="22"/>
  <c r="U20" i="22" s="1"/>
  <c r="I16" i="22"/>
  <c r="U15" i="22"/>
  <c r="G15" i="22"/>
  <c r="Q13" i="22"/>
  <c r="U23" i="21"/>
  <c r="U22" i="21"/>
  <c r="G22" i="21"/>
  <c r="U21" i="21"/>
  <c r="W17" i="21"/>
  <c r="I17" i="21"/>
  <c r="G21" i="21" s="1"/>
  <c r="G23" i="21" s="1"/>
  <c r="U16" i="21"/>
  <c r="G16" i="21"/>
  <c r="Q14" i="21"/>
  <c r="U21" i="20"/>
  <c r="G21" i="20"/>
  <c r="W16" i="20"/>
  <c r="U20" i="20" s="1"/>
  <c r="I16" i="20"/>
  <c r="G20" i="20" s="1"/>
  <c r="U15" i="20"/>
  <c r="G15" i="20"/>
  <c r="Q13" i="20"/>
  <c r="U21" i="19"/>
  <c r="G21" i="19"/>
  <c r="U20" i="19"/>
  <c r="W16" i="19"/>
  <c r="I16" i="19"/>
  <c r="G20" i="19" s="1"/>
  <c r="U15" i="19"/>
  <c r="U22" i="19" s="1"/>
  <c r="G15" i="19"/>
  <c r="Q13" i="19"/>
  <c r="U22" i="18"/>
  <c r="G22" i="18"/>
  <c r="U21" i="18"/>
  <c r="M21" i="18"/>
  <c r="M22" i="18" s="1"/>
  <c r="L21" i="18"/>
  <c r="W17" i="18"/>
  <c r="I17" i="18"/>
  <c r="G21" i="18" s="1"/>
  <c r="U16" i="18"/>
  <c r="U23" i="18" s="1"/>
  <c r="G16" i="18"/>
  <c r="G23" i="18" s="1"/>
  <c r="C14" i="18"/>
  <c r="U22" i="17"/>
  <c r="G22" i="17"/>
  <c r="C14" i="17"/>
  <c r="W17" i="17"/>
  <c r="U21" i="17" s="1"/>
  <c r="I17" i="17"/>
  <c r="G21" i="17" s="1"/>
  <c r="G23" i="17" s="1"/>
  <c r="U16" i="17"/>
  <c r="G16" i="17"/>
  <c r="Q14" i="17"/>
  <c r="U22" i="16"/>
  <c r="G22" i="16"/>
  <c r="W17" i="16"/>
  <c r="U21" i="16" s="1"/>
  <c r="U23" i="16" s="1"/>
  <c r="I17" i="16"/>
  <c r="G21" i="16" s="1"/>
  <c r="U16" i="16"/>
  <c r="G16" i="16"/>
  <c r="Q14" i="16"/>
  <c r="U22" i="15"/>
  <c r="G22" i="15"/>
  <c r="U21" i="15"/>
  <c r="C14" i="15"/>
  <c r="G21" i="15"/>
  <c r="W17" i="15"/>
  <c r="I17" i="15"/>
  <c r="U16" i="15"/>
  <c r="U23" i="15" s="1"/>
  <c r="G16" i="15"/>
  <c r="G23" i="15" s="1"/>
  <c r="Q14" i="15"/>
  <c r="U22" i="14"/>
  <c r="G22" i="14"/>
  <c r="W17" i="14"/>
  <c r="U21" i="14" s="1"/>
  <c r="U23" i="14" s="1"/>
  <c r="I17" i="14"/>
  <c r="G21" i="14" s="1"/>
  <c r="G23" i="14" s="1"/>
  <c r="U16" i="14"/>
  <c r="G16" i="14"/>
  <c r="Q14" i="14"/>
  <c r="U22" i="13"/>
  <c r="G22" i="13"/>
  <c r="U21" i="13"/>
  <c r="W17" i="13"/>
  <c r="I17" i="13"/>
  <c r="G21" i="13" s="1"/>
  <c r="U16" i="13"/>
  <c r="U23" i="13" s="1"/>
  <c r="G16" i="13"/>
  <c r="C14" i="13"/>
  <c r="U21" i="12"/>
  <c r="G21" i="12"/>
  <c r="G20" i="12"/>
  <c r="W16" i="12"/>
  <c r="U20" i="12" s="1"/>
  <c r="I16" i="12"/>
  <c r="U15" i="12"/>
  <c r="G15" i="12"/>
  <c r="U21" i="11"/>
  <c r="G21" i="11"/>
  <c r="Q13" i="11"/>
  <c r="M21" i="11"/>
  <c r="G20" i="11"/>
  <c r="G22" i="11" s="1"/>
  <c r="W16" i="11"/>
  <c r="U20" i="11" s="1"/>
  <c r="U22" i="11" s="1"/>
  <c r="I16" i="11"/>
  <c r="U15" i="11"/>
  <c r="G15" i="11"/>
  <c r="U21" i="10"/>
  <c r="G21" i="10"/>
  <c r="W16" i="10"/>
  <c r="U20" i="10" s="1"/>
  <c r="U22" i="10" s="1"/>
  <c r="I16" i="10"/>
  <c r="G20" i="10" s="1"/>
  <c r="U15" i="10"/>
  <c r="G15" i="10"/>
  <c r="Q13" i="10"/>
  <c r="U21" i="9"/>
  <c r="G21" i="9"/>
  <c r="U20" i="9"/>
  <c r="G20" i="9"/>
  <c r="W16" i="9"/>
  <c r="I16" i="9"/>
  <c r="U15" i="9"/>
  <c r="U22" i="9" s="1"/>
  <c r="G15" i="9"/>
  <c r="G22" i="9" s="1"/>
  <c r="U22" i="8"/>
  <c r="G22" i="8"/>
  <c r="W17" i="8"/>
  <c r="U21" i="8" s="1"/>
  <c r="U23" i="8" s="1"/>
  <c r="I17" i="8"/>
  <c r="G21" i="8" s="1"/>
  <c r="U16" i="8"/>
  <c r="G16" i="8"/>
  <c r="C14" i="8"/>
  <c r="U21" i="7"/>
  <c r="G21" i="7"/>
  <c r="W16" i="7"/>
  <c r="U20" i="7" s="1"/>
  <c r="U22" i="7" s="1"/>
  <c r="I16" i="7"/>
  <c r="G20" i="7" s="1"/>
  <c r="G22" i="7" s="1"/>
  <c r="U15" i="7"/>
  <c r="G15" i="7"/>
  <c r="U23" i="6"/>
  <c r="G23" i="6"/>
  <c r="C15" i="6"/>
  <c r="W18" i="6"/>
  <c r="U22" i="6" s="1"/>
  <c r="U24" i="6" s="1"/>
  <c r="I18" i="6"/>
  <c r="G22" i="6" s="1"/>
  <c r="G24" i="6" s="1"/>
  <c r="U17" i="6"/>
  <c r="G17" i="6"/>
  <c r="Q15" i="6"/>
  <c r="U21" i="5"/>
  <c r="G21" i="5"/>
  <c r="Q13" i="5"/>
  <c r="W16" i="5"/>
  <c r="U20" i="5" s="1"/>
  <c r="I16" i="5"/>
  <c r="G20" i="5" s="1"/>
  <c r="U15" i="5"/>
  <c r="G15" i="5"/>
  <c r="U21" i="4"/>
  <c r="G21" i="4"/>
  <c r="W16" i="4"/>
  <c r="U20" i="4" s="1"/>
  <c r="I16" i="4"/>
  <c r="G20" i="4" s="1"/>
  <c r="U15" i="4"/>
  <c r="U22" i="4" s="1"/>
  <c r="G15" i="4"/>
  <c r="Q14" i="4"/>
  <c r="Q13" i="4"/>
  <c r="U21" i="3"/>
  <c r="G21" i="3"/>
  <c r="W16" i="3"/>
  <c r="U20" i="3" s="1"/>
  <c r="I16" i="3"/>
  <c r="G20" i="3" s="1"/>
  <c r="U15" i="3"/>
  <c r="G15" i="3"/>
  <c r="AA21" i="2"/>
  <c r="Z21" i="2"/>
  <c r="Z24" i="2" s="1"/>
  <c r="Z27" i="2" s="1"/>
  <c r="AH3" i="2"/>
  <c r="AH4" i="2"/>
  <c r="AH5" i="2"/>
  <c r="AH6" i="2"/>
  <c r="AH7" i="2"/>
  <c r="AH8" i="2"/>
  <c r="AH9" i="2"/>
  <c r="AH2" i="2"/>
  <c r="U22" i="2"/>
  <c r="G22" i="2"/>
  <c r="U21" i="2"/>
  <c r="M21" i="2"/>
  <c r="M22" i="2" s="1"/>
  <c r="L21" i="2"/>
  <c r="C14" i="2" s="1"/>
  <c r="G21" i="2"/>
  <c r="W17" i="2"/>
  <c r="I17" i="2"/>
  <c r="U16" i="2"/>
  <c r="U23" i="2" s="1"/>
  <c r="G16" i="2"/>
  <c r="G23" i="2" s="1"/>
  <c r="Q15" i="2"/>
  <c r="C15" i="2"/>
  <c r="AA21" i="1"/>
  <c r="Q15" i="1" s="1"/>
  <c r="Z21" i="1"/>
  <c r="Q14" i="1" s="1"/>
  <c r="C15" i="1"/>
  <c r="C14" i="1"/>
  <c r="M21" i="1"/>
  <c r="L21" i="1"/>
  <c r="AH3" i="1"/>
  <c r="AH4" i="1"/>
  <c r="AH5" i="1"/>
  <c r="AH6" i="1"/>
  <c r="AH7" i="1"/>
  <c r="AH8" i="1"/>
  <c r="AH9" i="1"/>
  <c r="AH2" i="1"/>
  <c r="U22" i="1"/>
  <c r="G22" i="1"/>
  <c r="M22" i="1"/>
  <c r="G21" i="1"/>
  <c r="W17" i="1"/>
  <c r="U21" i="1" s="1"/>
  <c r="I17" i="1"/>
  <c r="U16" i="1"/>
  <c r="G16" i="1"/>
  <c r="G23" i="1" s="1"/>
  <c r="Z23" i="24" l="1"/>
  <c r="Z26" i="24" s="1"/>
  <c r="Q15" i="24"/>
  <c r="U13" i="24" s="1"/>
  <c r="M20" i="23"/>
  <c r="Z22" i="23"/>
  <c r="Z25" i="23" s="1"/>
  <c r="Q14" i="23"/>
  <c r="U12" i="23" s="1"/>
  <c r="T23" i="23" s="1"/>
  <c r="Q14" i="22"/>
  <c r="Q15" i="22" s="1"/>
  <c r="U13" i="22" s="1"/>
  <c r="T24" i="22" s="1"/>
  <c r="Z23" i="22"/>
  <c r="Z26" i="22" s="1"/>
  <c r="M21" i="22"/>
  <c r="C15" i="22"/>
  <c r="G13" i="22" s="1"/>
  <c r="F24" i="22" s="1"/>
  <c r="Q15" i="21"/>
  <c r="M21" i="21"/>
  <c r="C15" i="21" s="1"/>
  <c r="Q16" i="21"/>
  <c r="U14" i="21" s="1"/>
  <c r="T25" i="21" s="1"/>
  <c r="Z24" i="21"/>
  <c r="Z27" i="21" s="1"/>
  <c r="Z23" i="20"/>
  <c r="Z26" i="20" s="1"/>
  <c r="Q15" i="20"/>
  <c r="U13" i="20" s="1"/>
  <c r="M21" i="20"/>
  <c r="C14" i="20"/>
  <c r="L23" i="20"/>
  <c r="C15" i="20"/>
  <c r="G13" i="20" s="1"/>
  <c r="Q14" i="19"/>
  <c r="Q15" i="19" s="1"/>
  <c r="U13" i="19" s="1"/>
  <c r="T24" i="19" s="1"/>
  <c r="M21" i="19"/>
  <c r="Z23" i="19"/>
  <c r="Z26" i="19" s="1"/>
  <c r="C14" i="19"/>
  <c r="C15" i="19" s="1"/>
  <c r="G13" i="19" s="1"/>
  <c r="F24" i="19" s="1"/>
  <c r="L23" i="19"/>
  <c r="Z24" i="18"/>
  <c r="Z27" i="18" s="1"/>
  <c r="C15" i="18"/>
  <c r="C16" i="18" s="1"/>
  <c r="G14" i="18" s="1"/>
  <c r="F25" i="18" s="1"/>
  <c r="C15" i="17"/>
  <c r="C16" i="17" s="1"/>
  <c r="G14" i="17" s="1"/>
  <c r="F25" i="17" s="1"/>
  <c r="Q16" i="17"/>
  <c r="U14" i="17" s="1"/>
  <c r="Z24" i="17"/>
  <c r="Z27" i="17" s="1"/>
  <c r="Q16" i="16"/>
  <c r="U14" i="16" s="1"/>
  <c r="T25" i="16" s="1"/>
  <c r="Z24" i="16"/>
  <c r="Z27" i="16" s="1"/>
  <c r="L24" i="16"/>
  <c r="Q15" i="15"/>
  <c r="Z24" i="15"/>
  <c r="Z27" i="15" s="1"/>
  <c r="Q16" i="15"/>
  <c r="U14" i="15" s="1"/>
  <c r="T25" i="15" s="1"/>
  <c r="M21" i="15"/>
  <c r="Q15" i="14"/>
  <c r="M22" i="14"/>
  <c r="Q16" i="14"/>
  <c r="U14" i="14" s="1"/>
  <c r="T25" i="14" s="1"/>
  <c r="Z24" i="14"/>
  <c r="Z27" i="14" s="1"/>
  <c r="M22" i="13"/>
  <c r="C15" i="13"/>
  <c r="C16" i="13" s="1"/>
  <c r="G14" i="13" s="1"/>
  <c r="F25" i="13" s="1"/>
  <c r="Q15" i="13"/>
  <c r="Q16" i="13"/>
  <c r="U14" i="13" s="1"/>
  <c r="T25" i="13" s="1"/>
  <c r="L24" i="13"/>
  <c r="Q14" i="12"/>
  <c r="C14" i="12"/>
  <c r="C15" i="12" s="1"/>
  <c r="G13" i="12" s="1"/>
  <c r="Q15" i="12"/>
  <c r="U13" i="12" s="1"/>
  <c r="Q14" i="11"/>
  <c r="C14" i="11"/>
  <c r="C15" i="11" s="1"/>
  <c r="G13" i="11" s="1"/>
  <c r="F24" i="11" s="1"/>
  <c r="Q15" i="11"/>
  <c r="U13" i="11" s="1"/>
  <c r="T24" i="11" s="1"/>
  <c r="Q14" i="10"/>
  <c r="C14" i="10"/>
  <c r="Q15" i="10"/>
  <c r="U13" i="10" s="1"/>
  <c r="T24" i="10" s="1"/>
  <c r="Z23" i="10"/>
  <c r="Z26" i="10" s="1"/>
  <c r="L23" i="10"/>
  <c r="Z23" i="9"/>
  <c r="Z26" i="9" s="1"/>
  <c r="Q13" i="9"/>
  <c r="Q15" i="9"/>
  <c r="U13" i="9" s="1"/>
  <c r="T24" i="9" s="1"/>
  <c r="M21" i="9"/>
  <c r="C14" i="9"/>
  <c r="L23" i="9"/>
  <c r="Q15" i="8"/>
  <c r="M22" i="8"/>
  <c r="Z24" i="8"/>
  <c r="Z27" i="8" s="1"/>
  <c r="Q16" i="8"/>
  <c r="U14" i="8" s="1"/>
  <c r="T25" i="8" s="1"/>
  <c r="L24" i="8"/>
  <c r="Z23" i="7"/>
  <c r="Z26" i="7" s="1"/>
  <c r="Q15" i="7"/>
  <c r="U13" i="7" s="1"/>
  <c r="T24" i="7" s="1"/>
  <c r="C15" i="7"/>
  <c r="G13" i="7" s="1"/>
  <c r="F24" i="7" s="1"/>
  <c r="C16" i="6"/>
  <c r="C17" i="6" s="1"/>
  <c r="G15" i="6" s="1"/>
  <c r="F26" i="6" s="1"/>
  <c r="Q17" i="6"/>
  <c r="U15" i="6" s="1"/>
  <c r="Z25" i="6"/>
  <c r="Z28" i="6" s="1"/>
  <c r="Q14" i="5"/>
  <c r="M21" i="5"/>
  <c r="C14" i="5"/>
  <c r="L23" i="5"/>
  <c r="C13" i="5"/>
  <c r="Q15" i="4"/>
  <c r="U13" i="4" s="1"/>
  <c r="C14" i="4"/>
  <c r="M21" i="4"/>
  <c r="C15" i="4"/>
  <c r="G13" i="4" s="1"/>
  <c r="F24" i="4" s="1"/>
  <c r="C14" i="3"/>
  <c r="C15" i="3" s="1"/>
  <c r="G13" i="3" s="1"/>
  <c r="F24" i="3" s="1"/>
  <c r="Q15" i="3"/>
  <c r="U13" i="3" s="1"/>
  <c r="Z23" i="3"/>
  <c r="Z26" i="3" s="1"/>
  <c r="T24" i="24"/>
  <c r="M21" i="24"/>
  <c r="C14" i="24"/>
  <c r="C15" i="24" s="1"/>
  <c r="G13" i="24" s="1"/>
  <c r="F24" i="24" s="1"/>
  <c r="L22" i="23"/>
  <c r="U22" i="22"/>
  <c r="L23" i="22"/>
  <c r="M22" i="21"/>
  <c r="C14" i="21"/>
  <c r="C16" i="21" s="1"/>
  <c r="G14" i="21" s="1"/>
  <c r="F25" i="21" s="1"/>
  <c r="U22" i="20"/>
  <c r="G22" i="20"/>
  <c r="G22" i="19"/>
  <c r="Q16" i="18"/>
  <c r="U14" i="18" s="1"/>
  <c r="T25" i="18" s="1"/>
  <c r="L24" i="18"/>
  <c r="U23" i="17"/>
  <c r="L24" i="17"/>
  <c r="G23" i="16"/>
  <c r="M22" i="16"/>
  <c r="C15" i="16"/>
  <c r="C16" i="16" s="1"/>
  <c r="G14" i="16" s="1"/>
  <c r="F25" i="16" s="1"/>
  <c r="C15" i="14"/>
  <c r="C16" i="14" s="1"/>
  <c r="G14" i="14" s="1"/>
  <c r="F25" i="14" s="1"/>
  <c r="L24" i="14"/>
  <c r="G23" i="13"/>
  <c r="U22" i="12"/>
  <c r="T24" i="12" s="1"/>
  <c r="G22" i="12"/>
  <c r="Z23" i="12"/>
  <c r="Z26" i="12" s="1"/>
  <c r="L23" i="11"/>
  <c r="Z23" i="11"/>
  <c r="Z26" i="11" s="1"/>
  <c r="G22" i="10"/>
  <c r="M21" i="10"/>
  <c r="C13" i="10"/>
  <c r="C15" i="10" s="1"/>
  <c r="G13" i="10" s="1"/>
  <c r="F24" i="10" s="1"/>
  <c r="C13" i="9"/>
  <c r="C15" i="9" s="1"/>
  <c r="G13" i="9" s="1"/>
  <c r="F24" i="9" s="1"/>
  <c r="G23" i="8"/>
  <c r="C15" i="8"/>
  <c r="C16" i="8" s="1"/>
  <c r="G14" i="8" s="1"/>
  <c r="F25" i="8" s="1"/>
  <c r="M21" i="7"/>
  <c r="L23" i="7"/>
  <c r="T26" i="6"/>
  <c r="M23" i="6"/>
  <c r="L25" i="6"/>
  <c r="Q15" i="5"/>
  <c r="U13" i="5" s="1"/>
  <c r="T24" i="5" s="1"/>
  <c r="G22" i="5"/>
  <c r="U22" i="5"/>
  <c r="Z23" i="5"/>
  <c r="Z26" i="5" s="1"/>
  <c r="T24" i="4"/>
  <c r="G22" i="4"/>
  <c r="L23" i="4"/>
  <c r="G22" i="3"/>
  <c r="M21" i="3"/>
  <c r="U22" i="3"/>
  <c r="L23" i="3"/>
  <c r="Q14" i="2"/>
  <c r="Q16" i="2" s="1"/>
  <c r="U14" i="2" s="1"/>
  <c r="T25" i="2" s="1"/>
  <c r="C16" i="2"/>
  <c r="G14" i="2" s="1"/>
  <c r="F25" i="2" s="1"/>
  <c r="L24" i="2"/>
  <c r="Q16" i="1"/>
  <c r="U14" i="1" s="1"/>
  <c r="Z24" i="1"/>
  <c r="Z27" i="1" s="1"/>
  <c r="L24" i="1"/>
  <c r="C16" i="1"/>
  <c r="G14" i="1" s="1"/>
  <c r="F25" i="1" s="1"/>
  <c r="T25" i="1"/>
  <c r="U23" i="1"/>
  <c r="C13" i="23" l="1"/>
  <c r="C14" i="23" s="1"/>
  <c r="G12" i="23" s="1"/>
  <c r="F23" i="23" s="1"/>
  <c r="L24" i="21"/>
  <c r="T24" i="20"/>
  <c r="F24" i="20"/>
  <c r="T25" i="17"/>
  <c r="M22" i="15"/>
  <c r="C15" i="15"/>
  <c r="C16" i="15" s="1"/>
  <c r="G14" i="15" s="1"/>
  <c r="F25" i="15" s="1"/>
  <c r="L24" i="15"/>
  <c r="Z24" i="13"/>
  <c r="Z27" i="13" s="1"/>
  <c r="L23" i="12"/>
  <c r="F24" i="12"/>
  <c r="M21" i="12"/>
  <c r="C15" i="5"/>
  <c r="G13" i="5" s="1"/>
  <c r="F24" i="5" s="1"/>
  <c r="T24" i="3"/>
</calcChain>
</file>

<file path=xl/sharedStrings.xml><?xml version="1.0" encoding="utf-8"?>
<sst xmlns="http://schemas.openxmlformats.org/spreadsheetml/2006/main" count="6061" uniqueCount="294">
  <si>
    <t>Line</t>
  </si>
  <si>
    <t>Date</t>
  </si>
  <si>
    <t>Time</t>
  </si>
  <si>
    <t>SpectrumFile</t>
  </si>
  <si>
    <t>LibraryFile</t>
  </si>
  <si>
    <t>Water vapor H2O</t>
  </si>
  <si>
    <t>Unit</t>
  </si>
  <si>
    <t xml:space="preserve"> Compensation</t>
  </si>
  <si>
    <t>Carbon dioxide CO2</t>
  </si>
  <si>
    <t>Carbon monoxide CO</t>
  </si>
  <si>
    <t>Nitrous oxide N2O</t>
  </si>
  <si>
    <t>Ammonia NH3</t>
  </si>
  <si>
    <t>Methane CH4</t>
  </si>
  <si>
    <t>Pressure</t>
  </si>
  <si>
    <t>Cell temperature</t>
  </si>
  <si>
    <t>Electronics temperature</t>
  </si>
  <si>
    <t xml:space="preserve"> Status</t>
  </si>
  <si>
    <t>C:\SN47543\Samples\20250430\Flem fert 101_07769.SPEX</t>
  </si>
  <si>
    <t>GAS-APP-006_SN47543_Rev1.CLIB</t>
  </si>
  <si>
    <t>vol-%</t>
  </si>
  <si>
    <t>wet</t>
  </si>
  <si>
    <t>ppm</t>
  </si>
  <si>
    <t>mbar</t>
  </si>
  <si>
    <t>N/A</t>
  </si>
  <si>
    <t>C</t>
  </si>
  <si>
    <t>OK</t>
  </si>
  <si>
    <t>C:\SN47543\Samples\20250430\Flem fert 101_07770.SPEX</t>
  </si>
  <si>
    <t>C:\SN47543\Samples\20250430\Flem fert 101_07771.SPEX</t>
  </si>
  <si>
    <t>C:\SN47543\Samples\20250430\Flem fert 101_07772.SPEX</t>
  </si>
  <si>
    <t>C:\SN47543\Samples\20250430\Flem fert 101_07773.SPEX</t>
  </si>
  <si>
    <t>C:\SN47543\Samples\20250430\Flem fert 101_07774.SPEX</t>
  </si>
  <si>
    <t>C:\SN47543\Samples\20250430\Flem fert 101_07775.SPEX</t>
  </si>
  <si>
    <t>C:\SN47543\Samples\20250430\Flem fert 101_07776.SPEX</t>
  </si>
  <si>
    <t>C:\SN47543\Samples\20250430\Flem fert 102_07777.SPEX</t>
  </si>
  <si>
    <t>C:\SN47543\Samples\20250430\Flem fert 102_07778.SPEX</t>
  </si>
  <si>
    <t>C:\SN47543\Samples\20250430\Flem fert 102_07779.SPEX</t>
  </si>
  <si>
    <t>C:\SN47543\Samples\20250430\Flem fert 102_07780.SPEX</t>
  </si>
  <si>
    <t>C:\SN47543\Samples\20250430\Flem fert 102_07781.SPEX</t>
  </si>
  <si>
    <t>C:\SN47543\Samples\20250430\Flem fert 102_07782.SPEX</t>
  </si>
  <si>
    <t>C:\SN47543\Samples\20250430\Flem fert 102_07783.SPEX</t>
  </si>
  <si>
    <t>C:\SN47543\Samples\20250430\Flem fert 102_07784.SPEX</t>
  </si>
  <si>
    <t>C:\SN47543\Samples\20250430\Flem fert 103_07785.SPEX</t>
  </si>
  <si>
    <t>C:\SN47543\Samples\20250430\Flem fert 103_07786.SPEX</t>
  </si>
  <si>
    <t>C:\SN47543\Samples\20250430\Flem fert 103_07787.SPEX</t>
  </si>
  <si>
    <t>C:\SN47543\Samples\20250430\Flem fert 103_07788.SPEX</t>
  </si>
  <si>
    <t>C:\SN47543\Samples\20250430\Flem fert 103_07789.SPEX</t>
  </si>
  <si>
    <t>C:\SN47543\Samples\20250430\Flem fert 103_07790.SPEX</t>
  </si>
  <si>
    <t>C:\SN47543\Samples\20250430\Flem fert 103_07791.SPEX</t>
  </si>
  <si>
    <t>C:\SN47543\Samples\20250430\Flem fert 103_07792.SPEX</t>
  </si>
  <si>
    <t>C:\SN47543\Samples\20250430\Flem fert 104_07793.SPEX</t>
  </si>
  <si>
    <t>C:\SN47543\Samples\20250430\Flem fert 104_07794.SPEX</t>
  </si>
  <si>
    <t>C:\SN47543\Samples\20250430\Flem fert 104_07795.SPEX</t>
  </si>
  <si>
    <t>C:\SN47543\Samples\20250430\Flem fert 104_07796.SPEX</t>
  </si>
  <si>
    <t>C:\SN47543\Samples\20250430\Flem fert 104_07797.SPEX</t>
  </si>
  <si>
    <t>C:\SN47543\Samples\20250430\Flem fert 104_07798.SPEX</t>
  </si>
  <si>
    <t>C:\SN47543\Samples\20250430\Flem fert 104_07799.SPEX</t>
  </si>
  <si>
    <t>C:\SN47543\Samples\20250430\Flem fert 104_07800.SPEX</t>
  </si>
  <si>
    <t>C:\SN47543\Samples\20250430\Flem fert 105_07801.SPEX</t>
  </si>
  <si>
    <t>C:\SN47543\Samples\20250430\Flem fert 105_07802.SPEX</t>
  </si>
  <si>
    <t>C:\SN47543\Samples\20250430\Flem fert 105_07803.SPEX</t>
  </si>
  <si>
    <t>C:\SN47543\Samples\20250430\Flem fert 105_07804.SPEX</t>
  </si>
  <si>
    <t>C:\SN47543\Samples\20250430\Flem fert 105_07805.SPEX</t>
  </si>
  <si>
    <t>C:\SN47543\Samples\20250430\Flem fert 105_07806.SPEX</t>
  </si>
  <si>
    <t>C:\SN47543\Samples\20250430\Flem fert 105_07807.SPEX</t>
  </si>
  <si>
    <t>C:\SN47543\Samples\20250430\Flem fert 105_07808.SPEX</t>
  </si>
  <si>
    <t>C:\SN47543\Samples\20250430\Flem fert 105_07809.SPEX</t>
  </si>
  <si>
    <t>C:\SN47543\Samples\20250430\Flem fert 106_07810.SPEX</t>
  </si>
  <si>
    <t>C:\SN47543\Samples\20250430\Flem fert 106_07811.SPEX</t>
  </si>
  <si>
    <t>C:\SN47543\Samples\20250430\Flem fert 106_07812.SPEX</t>
  </si>
  <si>
    <t>C:\SN47543\Samples\20250430\Flem fert 106_07813.SPEX</t>
  </si>
  <si>
    <t>C:\SN47543\Samples\20250430\Flem fert 106_07814.SPEX</t>
  </si>
  <si>
    <t>C:\SN47543\Samples\20250430\Flem fert 106_07815.SPEX</t>
  </si>
  <si>
    <t>C:\SN47543\Samples\20250430\Flem fert 106_07816.SPEX</t>
  </si>
  <si>
    <t>C:\SN47543\Samples\20250430\Flem fert 106_07817.SPEX</t>
  </si>
  <si>
    <t>C:\SN47543\Samples\20250430\Flem fert 106_07818.SPEX</t>
  </si>
  <si>
    <t>C:\SN47543\Samples\20250430\Flem fert 106_07819.SPEX</t>
  </si>
  <si>
    <t>C:\SN47543\Samples\20250430\Flem fert 201_07820.SPEX</t>
  </si>
  <si>
    <t>C:\SN47543\Samples\20250430\Flem fert 201_07821.SPEX</t>
  </si>
  <si>
    <t>C:\SN47543\Samples\20250430\Flem fert 201_07822.SPEX</t>
  </si>
  <si>
    <t>C:\SN47543\Samples\20250430\Flem fert 201_07823.SPEX</t>
  </si>
  <si>
    <t>C:\SN47543\Samples\20250430\Flem fert 201_07824.SPEX</t>
  </si>
  <si>
    <t>C:\SN47543\Samples\20250430\Flem fert 201_07825.SPEX</t>
  </si>
  <si>
    <t>C:\SN47543\Samples\20250430\Flem fert 201_07826.SPEX</t>
  </si>
  <si>
    <t>C:\SN47543\Samples\20250430\Flem fert 201_07827.SPEX</t>
  </si>
  <si>
    <t>C:\SN47543\Samples\20250430\Flem fert 202_07828.SPEX</t>
  </si>
  <si>
    <t>C:\SN47543\Samples\20250430\Flem fert 202_07829.SPEX</t>
  </si>
  <si>
    <t>C:\SN47543\Samples\20250430\Flem fert 202_07830.SPEX</t>
  </si>
  <si>
    <t>C:\SN47543\Samples\20250430\Flem fert 202_07831.SPEX</t>
  </si>
  <si>
    <t>C:\SN47543\Samples\20250430\Flem fert 202_07832.SPEX</t>
  </si>
  <si>
    <t>C:\SN47543\Samples\20250430\Flem fert 202_07833.SPEX</t>
  </si>
  <si>
    <t>C:\SN47543\Samples\20250430\Flem fert 202_07834.SPEX</t>
  </si>
  <si>
    <t>C:\SN47543\Samples\20250430\Flem fert 202_07835.SPEX</t>
  </si>
  <si>
    <t>C:\SN47543\Samples\20250430\Flem fert 202_07836.SPEX</t>
  </si>
  <si>
    <t>C:\SN47543\Samples\20250430\Flem fert 202_07837.SPEX</t>
  </si>
  <si>
    <t>C:\SN47543\Samples\20250430\Flem fert 203_07838.SPEX</t>
  </si>
  <si>
    <t>C:\SN47543\Samples\20250430\Flem fert 203_07839.SPEX</t>
  </si>
  <si>
    <t>C:\SN47543\Samples\20250430\Flem fert 203_07840.SPEX</t>
  </si>
  <si>
    <t>C:\SN47543\Samples\20250430\Flem fert 203_07841.SPEX</t>
  </si>
  <si>
    <t>C:\SN47543\Samples\20250430\Flem fert 203_07842.SPEX</t>
  </si>
  <si>
    <t>C:\SN47543\Samples\20250430\Flem fert 203_07843.SPEX</t>
  </si>
  <si>
    <t>C:\SN47543\Samples\20250430\Flem fert 203_07844.SPEX</t>
  </si>
  <si>
    <t>C:\SN47543\Samples\20250430\Flem fert 203_07845.SPEX</t>
  </si>
  <si>
    <t>C:\SN47543\Samples\20250430\Flem fert 204_07846.SPEX</t>
  </si>
  <si>
    <t>C:\SN47543\Samples\20250430\Flem fert 204_07847.SPEX</t>
  </si>
  <si>
    <t>C:\SN47543\Samples\20250430\Flem fert 204_07848.SPEX</t>
  </si>
  <si>
    <t>C:\SN47543\Samples\20250430\Flem fert 204_07849.SPEX</t>
  </si>
  <si>
    <t>C:\SN47543\Samples\20250430\Flem fert 204_07850.SPEX</t>
  </si>
  <si>
    <t>C:\SN47543\Samples\20250430\Flem fert 204_07851.SPEX</t>
  </si>
  <si>
    <t>C:\SN47543\Samples\20250430\Flem fert 204_07852.SPEX</t>
  </si>
  <si>
    <t>C:\SN47543\Samples\20250430\Flem fert 204_07853.SPEX</t>
  </si>
  <si>
    <t>C:\SN47543\Samples\20250430\Flem fert 205_07854.SPEX</t>
  </si>
  <si>
    <t>C:\SN47543\Samples\20250430\Flem fert 205_07855.SPEX</t>
  </si>
  <si>
    <t>C:\SN47543\Samples\20250430\Flem fert 205_07856.SPEX</t>
  </si>
  <si>
    <t>C:\SN47543\Samples\20250430\Flem fert 205_07857.SPEX</t>
  </si>
  <si>
    <t>C:\SN47543\Samples\20250430\Flem fert 205_07858.SPEX</t>
  </si>
  <si>
    <t>C:\SN47543\Samples\20250430\Flem fert 205_07859.SPEX</t>
  </si>
  <si>
    <t>C:\SN47543\Samples\20250430\Flem fert 205_07860.SPEX</t>
  </si>
  <si>
    <t>C:\SN47543\Samples\20250430\Flem fert 205_07861.SPEX</t>
  </si>
  <si>
    <t>C:\SN47543\Samples\20250430\Flem fert 206_07862.SPEX</t>
  </si>
  <si>
    <t>C:\SN47543\Samples\20250430\Flem fert 206_07863.SPEX</t>
  </si>
  <si>
    <t>C:\SN47543\Samples\20250430\Flem fert 206_07864.SPEX</t>
  </si>
  <si>
    <t>C:\SN47543\Samples\20250430\Flem fert 206_07865.SPEX</t>
  </si>
  <si>
    <t>C:\SN47543\Samples\20250430\Flem fert 206_07866.SPEX</t>
  </si>
  <si>
    <t>C:\SN47543\Samples\20250430\Flem fert 206_07867.SPEX</t>
  </si>
  <si>
    <t>C:\SN47543\Samples\20250430\Flem fert 206_07868.SPEX</t>
  </si>
  <si>
    <t>C:\SN47543\Samples\20250430\Flem fert 206_07869.SPEX</t>
  </si>
  <si>
    <t>C:\SN47543\Samples\20250430\Flem fert 301_07870.SPEX</t>
  </si>
  <si>
    <t>C:\SN47543\Samples\20250430\Flem fert 301_07871.SPEX</t>
  </si>
  <si>
    <t>C:\SN47543\Samples\20250430\Flem fert 301_07872.SPEX</t>
  </si>
  <si>
    <t>C:\SN47543\Samples\20250430\Flem fert 301_07873.SPEX</t>
  </si>
  <si>
    <t>C:\SN47543\Samples\20250430\Flem fert 301_07874.SPEX</t>
  </si>
  <si>
    <t>C:\SN47543\Samples\20250430\Flem fert 301_07875.SPEX</t>
  </si>
  <si>
    <t>C:\SN47543\Samples\20250430\Flem fert 301_07876.SPEX</t>
  </si>
  <si>
    <t>C:\SN47543\Samples\20250430\Flem fert 301_07877.SPEX</t>
  </si>
  <si>
    <t>C:\SN47543\Samples\20250430\Flem fert 301_07878.SPEX</t>
  </si>
  <si>
    <t>C:\SN47543\Samples\20250430\Flem fert 302_07879.SPEX</t>
  </si>
  <si>
    <t>C:\SN47543\Samples\20250430\Flem fert 302_07880.SPEX</t>
  </si>
  <si>
    <t>C:\SN47543\Samples\20250430\Flem fert 302_07881.SPEX</t>
  </si>
  <si>
    <t>C:\SN47543\Samples\20250430\Flem fert 302_07882.SPEX</t>
  </si>
  <si>
    <t>C:\SN47543\Samples\20250430\Flem fert 302_07883.SPEX</t>
  </si>
  <si>
    <t>C:\SN47543\Samples\20250430\Flem fert 302_07884.SPEX</t>
  </si>
  <si>
    <t>C:\SN47543\Samples\20250430\Flem fert 302_07885.SPEX</t>
  </si>
  <si>
    <t>C:\SN47543\Samples\20250430\Flem fert 302_07886.SPEX</t>
  </si>
  <si>
    <t>C:\SN47543\Samples\20250430\Flem fert 302_07887.SPEX</t>
  </si>
  <si>
    <t>C:\SN47543\Samples\20250430\Flem fert 303_07888.SPEX</t>
  </si>
  <si>
    <t>C:\SN47543\Samples\20250430\Flem fert 303_07889.SPEX</t>
  </si>
  <si>
    <t>C:\SN47543\Samples\20250430\Flem fert 303_07890.SPEX</t>
  </si>
  <si>
    <t>C:\SN47543\Samples\20250430\Flem fert 303_07891.SPEX</t>
  </si>
  <si>
    <t>C:\SN47543\Samples\20250430\Flem fert 303_07892.SPEX</t>
  </si>
  <si>
    <t>C:\SN47543\Samples\20250430\Flem fert 303_07893.SPEX</t>
  </si>
  <si>
    <t>C:\SN47543\Samples\20250430\Flem fert 303_07894.SPEX</t>
  </si>
  <si>
    <t>C:\SN47543\Samples\20250430\Flem fert 303_07895.SPEX</t>
  </si>
  <si>
    <t>C:\SN47543\Samples\20250430\Flem fert 304_07896.SPEX</t>
  </si>
  <si>
    <t>C:\SN47543\Samples\20250430\Flem fert 304_07897.SPEX</t>
  </si>
  <si>
    <t>C:\SN47543\Samples\20250430\Flem fert 304_07898.SPEX</t>
  </si>
  <si>
    <t>C:\SN47543\Samples\20250430\Flem fert 304_07899.SPEX</t>
  </si>
  <si>
    <t>C:\SN47543\Samples\20250430\Flem fert 304_07900.SPEX</t>
  </si>
  <si>
    <t>C:\SN47543\Samples\20250430\Flem fert 304_07901.SPEX</t>
  </si>
  <si>
    <t>C:\SN47543\Samples\20250430\Flem fert 304_07902.SPEX</t>
  </si>
  <si>
    <t>C:\SN47543\Samples\20250430\Flem fert 304_07903.SPEX</t>
  </si>
  <si>
    <t>C:\SN47543\Samples\20250430\Flem fert 304_07904.SPEX</t>
  </si>
  <si>
    <t>C:\SN47543\Samples\20250430\Flem fert 305_07905.SPEX</t>
  </si>
  <si>
    <t>C:\SN47543\Samples\20250430\Flem fert 305_07906.SPEX</t>
  </si>
  <si>
    <t>C:\SN47543\Samples\20250430\Flem fert 305_07907.SPEX</t>
  </si>
  <si>
    <t>C:\SN47543\Samples\20250430\Flem fert 305_07908.SPEX</t>
  </si>
  <si>
    <t>C:\SN47543\Samples\20250430\Flem fert 305_07909.SPEX</t>
  </si>
  <si>
    <t>C:\SN47543\Samples\20250430\Flem fert 305_07910.SPEX</t>
  </si>
  <si>
    <t>C:\SN47543\Samples\20250430\Flem fert 305_07911.SPEX</t>
  </si>
  <si>
    <t>C:\SN47543\Samples\20250430\Flem fert 305_07912.SPEX</t>
  </si>
  <si>
    <t>C:\SN47543\Samples\20250430\Flem fert 305_07913.SPEX</t>
  </si>
  <si>
    <t>C:\SN47543\Samples\20250430\Flem fert 305_07914.SPEX</t>
  </si>
  <si>
    <t>C:\SN47543\Samples\20250430\Flem fert 306_07915.SPEX</t>
  </si>
  <si>
    <t>C:\SN47543\Samples\20250430\Flem fert 306_07916.SPEX</t>
  </si>
  <si>
    <t>C:\SN47543\Samples\20250430\Flem fert 306_07917.SPEX</t>
  </si>
  <si>
    <t>C:\SN47543\Samples\20250430\Flem fert 306_07918.SPEX</t>
  </si>
  <si>
    <t>C:\SN47543\Samples\20250430\Flem fert 306_07919.SPEX</t>
  </si>
  <si>
    <t>C:\SN47543\Samples\20250430\Flem fert 306_07920.SPEX</t>
  </si>
  <si>
    <t>C:\SN47543\Samples\20250430\Flem fert 306_07921.SPEX</t>
  </si>
  <si>
    <t>C:\SN47543\Samples\20250430\Flem fert 306_07922.SPEX</t>
  </si>
  <si>
    <t>C:\SN47543\Samples\20250430\Flem fert 306_07923.SPEX</t>
  </si>
  <si>
    <t>C:\SN47543\Samples\20250430\Flem fert 306_07924.SPEX</t>
  </si>
  <si>
    <t>C:\SN47543\Samples\20250430\Flem fert 401_07925.SPEX</t>
  </si>
  <si>
    <t>C:\SN47543\Samples\20250430\Flem fert 401_07926.SPEX</t>
  </si>
  <si>
    <t>C:\SN47543\Samples\20250430\Flem fert 401_07927.SPEX</t>
  </si>
  <si>
    <t>C:\SN47543\Samples\20250430\Flem fert 401_07928.SPEX</t>
  </si>
  <si>
    <t>C:\SN47543\Samples\20250430\Flem fert 401_07929.SPEX</t>
  </si>
  <si>
    <t>C:\SN47543\Samples\20250430\Flem fert 401_07930.SPEX</t>
  </si>
  <si>
    <t>C:\SN47543\Samples\20250430\Flem fert 401_07931.SPEX</t>
  </si>
  <si>
    <t>C:\SN47543\Samples\20250430\Flem fert 401_07932.SPEX</t>
  </si>
  <si>
    <t>C:\SN47543\Samples\20250430\Flem fert 402_07933.SPEX</t>
  </si>
  <si>
    <t>C:\SN47543\Samples\20250430\Flem fert 402_07934.SPEX</t>
  </si>
  <si>
    <t>C:\SN47543\Samples\20250430\Flem fert 402_07935.SPEX</t>
  </si>
  <si>
    <t>C:\SN47543\Samples\20250430\Flem fert 402_07936.SPEX</t>
  </si>
  <si>
    <t>C:\SN47543\Samples\20250430\Flem fert 402_07937.SPEX</t>
  </si>
  <si>
    <t>C:\SN47543\Samples\20250430\Flem fert 402_07938.SPEX</t>
  </si>
  <si>
    <t>C:\SN47543\Samples\20250430\Flem fert 402_07939.SPEX</t>
  </si>
  <si>
    <t>C:\SN47543\Samples\20250430\Flem fert 402_07940.SPEX</t>
  </si>
  <si>
    <t>C:\SN47543\Samples\20250430\Flem fert 402_07941.SPEX</t>
  </si>
  <si>
    <t>C:\SN47543\Samples\20250430\Flem fert 403_07942.SPEX</t>
  </si>
  <si>
    <t>C:\SN47543\Samples\20250430\Flem fert 403_07943.SPEX</t>
  </si>
  <si>
    <t>C:\SN47543\Samples\20250430\Flem fert 403_07944.SPEX</t>
  </si>
  <si>
    <t>C:\SN47543\Samples\20250430\Flem fert 403_07945.SPEX</t>
  </si>
  <si>
    <t>C:\SN47543\Samples\20250430\Flem fert 403_07946.SPEX</t>
  </si>
  <si>
    <t>C:\SN47543\Samples\20250430\Flem fert 403_07947.SPEX</t>
  </si>
  <si>
    <t>C:\SN47543\Samples\20250430\Flem fert 403_07948.SPEX</t>
  </si>
  <si>
    <t>C:\SN47543\Samples\20250430\Flem fert 403_07949.SPEX</t>
  </si>
  <si>
    <t>C:\SN47543\Samples\20250430\Flem fert 403_07950.SPEX</t>
  </si>
  <si>
    <t>C:\SN47543\Samples\20250430\Flem fert 404_07951.SPEX</t>
  </si>
  <si>
    <t>C:\SN47543\Samples\20250430\Flem fert 404_07952.SPEX</t>
  </si>
  <si>
    <t>C:\SN47543\Samples\20250430\Flem fert 404_07953.SPEX</t>
  </si>
  <si>
    <t>C:\SN47543\Samples\20250430\Flem fert 404_07954.SPEX</t>
  </si>
  <si>
    <t>C:\SN47543\Samples\20250430\Flem fert 404_07955.SPEX</t>
  </si>
  <si>
    <t>C:\SN47543\Samples\20250430\Flem fert 404_07956.SPEX</t>
  </si>
  <si>
    <t>C:\SN47543\Samples\20250430\Flem fert 404_07957.SPEX</t>
  </si>
  <si>
    <t>C:\SN47543\Samples\20250430\Flem fert 404_07958.SPEX</t>
  </si>
  <si>
    <t>C:\SN47543\Samples\20250430\Flem fert 405_07959.SPEX</t>
  </si>
  <si>
    <t>C:\SN47543\Samples\20250430\Flem fert 405_07960.SPEX</t>
  </si>
  <si>
    <t>C:\SN47543\Samples\20250430\Flem fert 405_07961.SPEX</t>
  </si>
  <si>
    <t>C:\SN47543\Samples\20250430\Flem fert 405_07962.SPEX</t>
  </si>
  <si>
    <t>C:\SN47543\Samples\20250430\Flem fert 405_07963.SPEX</t>
  </si>
  <si>
    <t>C:\SN47543\Samples\20250430\Flem fert 405_07964.SPEX</t>
  </si>
  <si>
    <t>C:\SN47543\Samples\20250430\Flem fert 405_07965.SPEX</t>
  </si>
  <si>
    <t>C:\SN47543\Samples\20250430\Flem fert 405_07966.SPEX</t>
  </si>
  <si>
    <t>C:\SN47543\Samples\20250430\Flem fert 406_07967.SPEX</t>
  </si>
  <si>
    <t>C:\SN47543\Samples\20250430\Flem fert 406_07968.SPEX</t>
  </si>
  <si>
    <t>C:\SN47543\Samples\20250430\Flem fert 406_07969.SPEX</t>
  </si>
  <si>
    <t>C:\SN47543\Samples\20250430\Flem fert 406_07970.SPEX</t>
  </si>
  <si>
    <t>C:\SN47543\Samples\20250430\Flem fert 406_07971.SPEX</t>
  </si>
  <si>
    <t>C:\SN47543\Samples\20250430\Flem fert 406_07972.SPEX</t>
  </si>
  <si>
    <t>C:\SN47543\Samples\20250430\Flem fert 406_07973.SPEX</t>
  </si>
  <si>
    <t>C:\SN47543\Samples\20250430\Flem fert 406_07974.SPEX</t>
  </si>
  <si>
    <t>CO2</t>
  </si>
  <si>
    <t>N20</t>
  </si>
  <si>
    <t>Change in CO2</t>
  </si>
  <si>
    <t>Slope</t>
  </si>
  <si>
    <t>v</t>
  </si>
  <si>
    <t>Slope of regression</t>
  </si>
  <si>
    <t>va</t>
  </si>
  <si>
    <t>T1</t>
  </si>
  <si>
    <t>K</t>
  </si>
  <si>
    <t>T2 (K)</t>
  </si>
  <si>
    <t>A</t>
  </si>
  <si>
    <t>T2/T1</t>
  </si>
  <si>
    <t>1/A</t>
  </si>
  <si>
    <t>Va*T2/T1</t>
  </si>
  <si>
    <t>CO2e</t>
  </si>
  <si>
    <t>time in secs</t>
  </si>
  <si>
    <t>Co2</t>
  </si>
  <si>
    <t>Time secs</t>
  </si>
  <si>
    <t>N2O</t>
  </si>
  <si>
    <t>time in sec</t>
  </si>
  <si>
    <t>Time in secs</t>
  </si>
  <si>
    <t>time  in secs</t>
  </si>
  <si>
    <t xml:space="preserve">Flempton Gasmet at 2nd fertiliser application </t>
  </si>
  <si>
    <t>03/04/25 ET, PB</t>
  </si>
  <si>
    <t xml:space="preserve">Plot </t>
  </si>
  <si>
    <t xml:space="preserve">Treatment </t>
  </si>
  <si>
    <t>Block</t>
  </si>
  <si>
    <t>Weirdly high but the data looks right</t>
  </si>
  <si>
    <t>Analysis of variance</t>
  </si>
  <si>
    <t xml:space="preserve"> </t>
  </si>
  <si>
    <t>Variate: N2O</t>
  </si>
  <si>
    <t>Source of variation</t>
  </si>
  <si>
    <t>d.f.</t>
  </si>
  <si>
    <t>s.s.</t>
  </si>
  <si>
    <t>m.s.</t>
  </si>
  <si>
    <t>v.r.</t>
  </si>
  <si>
    <t>F pr.</t>
  </si>
  <si>
    <t>Block stratum</t>
  </si>
  <si>
    <t>Block.*Units* stratum</t>
  </si>
  <si>
    <t>Treatment</t>
  </si>
  <si>
    <t>Residual</t>
  </si>
  <si>
    <t>Total</t>
  </si>
  <si>
    <t>Message: the following units have large residuals.</t>
  </si>
  <si>
    <t>Block 2 *units* 5</t>
  </si>
  <si>
    <t xml:space="preserve">   s.e. 1.63</t>
  </si>
  <si>
    <t>Tables of means</t>
  </si>
  <si>
    <t xml:space="preserve">Grand mean  0.95 </t>
  </si>
  <si>
    <t>Standard errors of differences of means</t>
  </si>
  <si>
    <t>Table</t>
  </si>
  <si>
    <t>rep.</t>
  </si>
  <si>
    <t>s.e.d.</t>
  </si>
  <si>
    <t xml:space="preserve">  50  IF _exit .in. !(0...4)</t>
  </si>
  <si>
    <t xml:space="preserve">  51  ENDIF</t>
  </si>
  <si>
    <t xml:space="preserve">  52  SET [IN=*]</t>
  </si>
  <si>
    <t xml:space="preserve">Suspect something, in the collar </t>
  </si>
  <si>
    <t>(m.v.)</t>
  </si>
  <si>
    <t>Block 3 *units* 3</t>
  </si>
  <si>
    <t xml:space="preserve">   s.e. 0.355</t>
  </si>
  <si>
    <t xml:space="preserve">Grand mean  0.544 </t>
  </si>
  <si>
    <t>(Not adjusted for missing values)</t>
  </si>
  <si>
    <t xml:space="preserve">  54  IF _exit .in. !(0...4)</t>
  </si>
  <si>
    <t xml:space="preserve">  55  ENDIF</t>
  </si>
  <si>
    <t xml:space="preserve">  56  SET [IN=*]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</si>
</sst>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rgb="FF4D515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21" fontId="0" fillId="0" borderId="0" xfId="0" applyNumberFormat="1"/>
    <xf numFmtId="0" fontId="2" fillId="0" borderId="0" xfId="0" applyFont="1"/>
    <xf numFmtId="0" fontId="3" fillId="0" borderId="0" xfId="0" applyFont="1"/>
    <xf numFmtId="2" fontId="0" fillId="0" borderId="0" xfId="0" applyNumberFormat="1"/>
    <xf numFmtId="0" fontId="0" fillId="2" borderId="0" xfId="0" applyFill="1"/>
    <xf numFmtId="1" fontId="4" fillId="0" borderId="0" xfId="0" applyNumberFormat="1" applyFont="1"/>
    <xf numFmtId="0" fontId="0" fillId="3" borderId="0" xfId="0" applyFill="1"/>
    <xf numFmtId="164" fontId="0" fillId="0" borderId="0" xfId="0" applyNumberFormat="1"/>
    <xf numFmtId="0" fontId="0" fillId="4" borderId="0" xfId="0" applyFill="1"/>
    <xf numFmtId="2" fontId="4" fillId="0" borderId="0" xfId="0" applyNumberFormat="1" applyFont="1"/>
    <xf numFmtId="0" fontId="0" fillId="5" borderId="0" xfId="0" applyFill="1"/>
    <xf numFmtId="1" fontId="0" fillId="0" borderId="0" xfId="0" applyNumberFormat="1"/>
    <xf numFmtId="0" fontId="0" fillId="6" borderId="0" xfId="0" applyFill="1"/>
    <xf numFmtId="2" fontId="0" fillId="6" borderId="0" xfId="0" applyNumberFormat="1" applyFill="1"/>
    <xf numFmtId="1" fontId="4" fillId="6" borderId="0" xfId="0" applyNumberFormat="1" applyFont="1" applyFill="1"/>
    <xf numFmtId="0" fontId="1" fillId="0" borderId="0" xfId="0" applyFont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N2O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'101'!$O$2:$O$9</c:f>
              <c:numCache>
                <c:formatCode>General</c:formatCode>
                <c:ptCount val="8"/>
                <c:pt idx="0">
                  <c:v>0.25340000000000001</c:v>
                </c:pt>
                <c:pt idx="1">
                  <c:v>0.29389999999999999</c:v>
                </c:pt>
                <c:pt idx="2">
                  <c:v>0.30449999999999999</c:v>
                </c:pt>
                <c:pt idx="3">
                  <c:v>0.30680000000000002</c:v>
                </c:pt>
                <c:pt idx="4">
                  <c:v>0.31009999999999999</c:v>
                </c:pt>
                <c:pt idx="5">
                  <c:v>0.31390000000000001</c:v>
                </c:pt>
                <c:pt idx="6">
                  <c:v>0.31730000000000003</c:v>
                </c:pt>
                <c:pt idx="7">
                  <c:v>0.3231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20-48F6-8F94-7C03CAF1F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166063"/>
        <c:axId val="218167023"/>
      </c:scatterChart>
      <c:valAx>
        <c:axId val="21816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67023"/>
        <c:crosses val="autoZero"/>
        <c:crossBetween val="midCat"/>
      </c:valAx>
      <c:valAx>
        <c:axId val="21816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66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'101'!$I$2:$I$9</c:f>
              <c:numCache>
                <c:formatCode>General</c:formatCode>
                <c:ptCount val="8"/>
                <c:pt idx="0">
                  <c:v>356.37</c:v>
                </c:pt>
                <c:pt idx="1">
                  <c:v>426.8</c:v>
                </c:pt>
                <c:pt idx="2">
                  <c:v>442.99</c:v>
                </c:pt>
                <c:pt idx="3">
                  <c:v>456.63</c:v>
                </c:pt>
                <c:pt idx="4">
                  <c:v>469.59</c:v>
                </c:pt>
                <c:pt idx="5">
                  <c:v>481.6</c:v>
                </c:pt>
                <c:pt idx="6">
                  <c:v>494.42</c:v>
                </c:pt>
                <c:pt idx="7">
                  <c:v>506.15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36-4623-947E-5D98E8665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079663"/>
        <c:axId val="218102703"/>
      </c:scatterChart>
      <c:valAx>
        <c:axId val="218079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02703"/>
        <c:crosses val="autoZero"/>
        <c:crossBetween val="midCat"/>
      </c:valAx>
      <c:valAx>
        <c:axId val="2181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079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'102'!$I$2:$I$9</c:f>
              <c:numCache>
                <c:formatCode>General</c:formatCode>
                <c:ptCount val="8"/>
                <c:pt idx="0">
                  <c:v>461.92</c:v>
                </c:pt>
                <c:pt idx="1">
                  <c:v>468.46</c:v>
                </c:pt>
                <c:pt idx="2">
                  <c:v>487.28</c:v>
                </c:pt>
                <c:pt idx="3">
                  <c:v>504.26</c:v>
                </c:pt>
                <c:pt idx="4">
                  <c:v>520.25</c:v>
                </c:pt>
                <c:pt idx="5">
                  <c:v>536.48</c:v>
                </c:pt>
                <c:pt idx="6">
                  <c:v>550.9</c:v>
                </c:pt>
                <c:pt idx="7">
                  <c:v>566.54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4C-48A1-A32A-A5DD63B2A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5800159"/>
        <c:axId val="1845798239"/>
      </c:scatterChart>
      <c:valAx>
        <c:axId val="1845800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798239"/>
        <c:crosses val="autoZero"/>
        <c:crossBetween val="midCat"/>
      </c:valAx>
      <c:valAx>
        <c:axId val="184579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800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N2O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'102'!$O$2:$O$9</c:f>
              <c:numCache>
                <c:formatCode>General</c:formatCode>
                <c:ptCount val="8"/>
                <c:pt idx="0">
                  <c:v>0.3256</c:v>
                </c:pt>
                <c:pt idx="1">
                  <c:v>0.33610000000000001</c:v>
                </c:pt>
                <c:pt idx="2">
                  <c:v>0.33379999999999999</c:v>
                </c:pt>
                <c:pt idx="3">
                  <c:v>0.34129999999999999</c:v>
                </c:pt>
                <c:pt idx="4">
                  <c:v>0.3458</c:v>
                </c:pt>
                <c:pt idx="5">
                  <c:v>0.34799999999999998</c:v>
                </c:pt>
                <c:pt idx="6">
                  <c:v>0.3478</c:v>
                </c:pt>
                <c:pt idx="7">
                  <c:v>0.35349999999999998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B0-4DE0-8DF3-A1003BB3A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5765119"/>
        <c:axId val="1845766079"/>
      </c:scatterChart>
      <c:valAx>
        <c:axId val="1845765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766079"/>
        <c:crosses val="autoZero"/>
        <c:crossBetween val="midCat"/>
      </c:valAx>
      <c:valAx>
        <c:axId val="184576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765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'103'!$I$2:$I$9</c:f>
              <c:numCache>
                <c:formatCode>General</c:formatCode>
                <c:ptCount val="8"/>
                <c:pt idx="0">
                  <c:v>475.07</c:v>
                </c:pt>
                <c:pt idx="1">
                  <c:v>460.84</c:v>
                </c:pt>
                <c:pt idx="2">
                  <c:v>474.95</c:v>
                </c:pt>
                <c:pt idx="3">
                  <c:v>488.6</c:v>
                </c:pt>
                <c:pt idx="4">
                  <c:v>502.09</c:v>
                </c:pt>
                <c:pt idx="5">
                  <c:v>514.64</c:v>
                </c:pt>
                <c:pt idx="6">
                  <c:v>527.6</c:v>
                </c:pt>
                <c:pt idx="7">
                  <c:v>541.02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24-49F9-A8C8-CFF2C898C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111823"/>
        <c:axId val="218112783"/>
      </c:scatterChart>
      <c:valAx>
        <c:axId val="2181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12783"/>
        <c:crosses val="autoZero"/>
        <c:crossBetween val="midCat"/>
      </c:valAx>
      <c:valAx>
        <c:axId val="2181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'103'!$O$2:$O$9</c:f>
              <c:numCache>
                <c:formatCode>General</c:formatCode>
                <c:ptCount val="8"/>
                <c:pt idx="0">
                  <c:v>0.34770000000000001</c:v>
                </c:pt>
                <c:pt idx="1">
                  <c:v>0.34899999999999998</c:v>
                </c:pt>
                <c:pt idx="2">
                  <c:v>0.36080000000000001</c:v>
                </c:pt>
                <c:pt idx="3">
                  <c:v>0.36609999999999998</c:v>
                </c:pt>
                <c:pt idx="4">
                  <c:v>0.3674</c:v>
                </c:pt>
                <c:pt idx="5">
                  <c:v>0.37309999999999999</c:v>
                </c:pt>
                <c:pt idx="6">
                  <c:v>0.37809999999999999</c:v>
                </c:pt>
                <c:pt idx="7">
                  <c:v>0.38240000000000002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AC-4FB5-A36F-4A22194D5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195343"/>
        <c:axId val="218167503"/>
      </c:scatterChart>
      <c:valAx>
        <c:axId val="21819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67503"/>
        <c:crosses val="autoZero"/>
        <c:crossBetween val="midCat"/>
      </c:valAx>
      <c:valAx>
        <c:axId val="21816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95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'104'!$I$2:$I$9</c:f>
              <c:numCache>
                <c:formatCode>General</c:formatCode>
                <c:ptCount val="8"/>
                <c:pt idx="0">
                  <c:v>467.91</c:v>
                </c:pt>
                <c:pt idx="1">
                  <c:v>462.2</c:v>
                </c:pt>
                <c:pt idx="2">
                  <c:v>476.46</c:v>
                </c:pt>
                <c:pt idx="3">
                  <c:v>492.01</c:v>
                </c:pt>
                <c:pt idx="4">
                  <c:v>505.5</c:v>
                </c:pt>
                <c:pt idx="5">
                  <c:v>517.28</c:v>
                </c:pt>
                <c:pt idx="6">
                  <c:v>530.80999999999995</c:v>
                </c:pt>
                <c:pt idx="7">
                  <c:v>543.54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8F-478B-9CFA-6618AA6F1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218511"/>
        <c:axId val="327220431"/>
      </c:scatterChart>
      <c:valAx>
        <c:axId val="327218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220431"/>
        <c:crosses val="autoZero"/>
        <c:crossBetween val="midCat"/>
      </c:valAx>
      <c:valAx>
        <c:axId val="32722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218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N2O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'104'!$O$2:$O$9</c:f>
              <c:numCache>
                <c:formatCode>General</c:formatCode>
                <c:ptCount val="8"/>
                <c:pt idx="0">
                  <c:v>0.38450000000000001</c:v>
                </c:pt>
                <c:pt idx="1">
                  <c:v>0.40160000000000001</c:v>
                </c:pt>
                <c:pt idx="2">
                  <c:v>0.41930000000000001</c:v>
                </c:pt>
                <c:pt idx="3">
                  <c:v>0.43959999999999999</c:v>
                </c:pt>
                <c:pt idx="4">
                  <c:v>0.46079999999999999</c:v>
                </c:pt>
                <c:pt idx="5">
                  <c:v>0.47320000000000001</c:v>
                </c:pt>
                <c:pt idx="6">
                  <c:v>0.48909999999999998</c:v>
                </c:pt>
                <c:pt idx="7">
                  <c:v>0.5101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6D-4FFF-B712-CAB1D2C8E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250671"/>
        <c:axId val="327246831"/>
      </c:scatterChart>
      <c:valAx>
        <c:axId val="327250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246831"/>
        <c:crosses val="autoZero"/>
        <c:crossBetween val="midCat"/>
      </c:valAx>
      <c:valAx>
        <c:axId val="32724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250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'105'!$I$2:$I$10</c:f>
              <c:numCache>
                <c:formatCode>General</c:formatCode>
                <c:ptCount val="9"/>
                <c:pt idx="0">
                  <c:v>465.96</c:v>
                </c:pt>
                <c:pt idx="1">
                  <c:v>458.86</c:v>
                </c:pt>
                <c:pt idx="2">
                  <c:v>475.85</c:v>
                </c:pt>
                <c:pt idx="3">
                  <c:v>491.13</c:v>
                </c:pt>
                <c:pt idx="4">
                  <c:v>504.56</c:v>
                </c:pt>
                <c:pt idx="5">
                  <c:v>518.78</c:v>
                </c:pt>
                <c:pt idx="6">
                  <c:v>533.98</c:v>
                </c:pt>
                <c:pt idx="7">
                  <c:v>547.65</c:v>
                </c:pt>
                <c:pt idx="8">
                  <c:v>556.12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4F-4CEE-8ACA-512035612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229071"/>
        <c:axId val="327231951"/>
      </c:scatterChart>
      <c:valAx>
        <c:axId val="327229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231951"/>
        <c:crosses val="autoZero"/>
        <c:crossBetween val="midCat"/>
      </c:valAx>
      <c:valAx>
        <c:axId val="32723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229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N2O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'105'!$O$2:$O$10</c:f>
              <c:numCache>
                <c:formatCode>General</c:formatCode>
                <c:ptCount val="9"/>
                <c:pt idx="0">
                  <c:v>0.40460000000000002</c:v>
                </c:pt>
                <c:pt idx="1">
                  <c:v>0.37759999999999999</c:v>
                </c:pt>
                <c:pt idx="2">
                  <c:v>0.38100000000000001</c:v>
                </c:pt>
                <c:pt idx="3">
                  <c:v>0.38279999999999997</c:v>
                </c:pt>
                <c:pt idx="4">
                  <c:v>0.3866</c:v>
                </c:pt>
                <c:pt idx="5">
                  <c:v>0.38519999999999999</c:v>
                </c:pt>
                <c:pt idx="6">
                  <c:v>0.3916</c:v>
                </c:pt>
                <c:pt idx="7">
                  <c:v>0.39879999999999999</c:v>
                </c:pt>
                <c:pt idx="8">
                  <c:v>0.3896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13-4D7E-AC9F-4B71BD56C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253071"/>
        <c:axId val="327244911"/>
      </c:scatterChart>
      <c:valAx>
        <c:axId val="327253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244911"/>
        <c:crosses val="autoZero"/>
        <c:crossBetween val="midCat"/>
      </c:valAx>
      <c:valAx>
        <c:axId val="32724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253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'106'!$I$2:$I$11</c:f>
              <c:numCache>
                <c:formatCode>General</c:formatCode>
                <c:ptCount val="10"/>
                <c:pt idx="0">
                  <c:v>481.67</c:v>
                </c:pt>
                <c:pt idx="1">
                  <c:v>478.22</c:v>
                </c:pt>
                <c:pt idx="2">
                  <c:v>494.51</c:v>
                </c:pt>
                <c:pt idx="3">
                  <c:v>511.7</c:v>
                </c:pt>
                <c:pt idx="4">
                  <c:v>527.86</c:v>
                </c:pt>
                <c:pt idx="5">
                  <c:v>545.98</c:v>
                </c:pt>
                <c:pt idx="6">
                  <c:v>561.88</c:v>
                </c:pt>
                <c:pt idx="7">
                  <c:v>577.6</c:v>
                </c:pt>
                <c:pt idx="8">
                  <c:v>594.57000000000005</c:v>
                </c:pt>
                <c:pt idx="9">
                  <c:v>610.27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03-4E77-9303-D3F557861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142671"/>
        <c:axId val="327144111"/>
      </c:scatterChart>
      <c:valAx>
        <c:axId val="3271426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144111"/>
        <c:crosses val="autoZero"/>
        <c:crossBetween val="midCat"/>
      </c:valAx>
      <c:valAx>
        <c:axId val="32714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1426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N2O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'106'!$O$2:$O$11</c:f>
              <c:numCache>
                <c:formatCode>General</c:formatCode>
                <c:ptCount val="10"/>
                <c:pt idx="0">
                  <c:v>0.37659999999999999</c:v>
                </c:pt>
                <c:pt idx="1">
                  <c:v>0.38600000000000001</c:v>
                </c:pt>
                <c:pt idx="2">
                  <c:v>0.38519999999999999</c:v>
                </c:pt>
                <c:pt idx="3">
                  <c:v>0.39229999999999998</c:v>
                </c:pt>
                <c:pt idx="4">
                  <c:v>0.39660000000000001</c:v>
                </c:pt>
                <c:pt idx="5">
                  <c:v>0.39839999999999998</c:v>
                </c:pt>
                <c:pt idx="6">
                  <c:v>0.3972</c:v>
                </c:pt>
                <c:pt idx="7">
                  <c:v>0.41060000000000002</c:v>
                </c:pt>
                <c:pt idx="8">
                  <c:v>0.40610000000000002</c:v>
                </c:pt>
                <c:pt idx="9">
                  <c:v>0.41099999999999998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F8-4C98-ACC4-CCB58ED05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138351"/>
        <c:axId val="327150351"/>
      </c:scatterChart>
      <c:valAx>
        <c:axId val="327138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150351"/>
        <c:crosses val="autoZero"/>
        <c:crossBetween val="midCat"/>
      </c:valAx>
      <c:valAx>
        <c:axId val="32715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138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'201'!$I$2:$I$9</c:f>
              <c:numCache>
                <c:formatCode>General</c:formatCode>
                <c:ptCount val="8"/>
                <c:pt idx="0">
                  <c:v>488.15</c:v>
                </c:pt>
                <c:pt idx="1">
                  <c:v>475.79</c:v>
                </c:pt>
                <c:pt idx="2">
                  <c:v>491.42</c:v>
                </c:pt>
                <c:pt idx="3">
                  <c:v>507.11</c:v>
                </c:pt>
                <c:pt idx="4">
                  <c:v>525.17999999999995</c:v>
                </c:pt>
                <c:pt idx="5">
                  <c:v>539.85</c:v>
                </c:pt>
                <c:pt idx="6">
                  <c:v>557.17999999999995</c:v>
                </c:pt>
                <c:pt idx="7">
                  <c:v>569.03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3E-4E54-8238-291D2943C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155151"/>
        <c:axId val="327155631"/>
      </c:scatterChart>
      <c:valAx>
        <c:axId val="32715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155631"/>
        <c:crosses val="autoZero"/>
        <c:crossBetween val="midCat"/>
      </c:valAx>
      <c:valAx>
        <c:axId val="32715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155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N2O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'201'!$O$2:$O$9</c:f>
              <c:numCache>
                <c:formatCode>General</c:formatCode>
                <c:ptCount val="8"/>
                <c:pt idx="0">
                  <c:v>0.37809999999999999</c:v>
                </c:pt>
                <c:pt idx="1">
                  <c:v>0.38519999999999999</c:v>
                </c:pt>
                <c:pt idx="2">
                  <c:v>0.38350000000000001</c:v>
                </c:pt>
                <c:pt idx="3">
                  <c:v>0.3911</c:v>
                </c:pt>
                <c:pt idx="4">
                  <c:v>0.39639999999999997</c:v>
                </c:pt>
                <c:pt idx="5">
                  <c:v>0.40079999999999999</c:v>
                </c:pt>
                <c:pt idx="6">
                  <c:v>0.40749999999999997</c:v>
                </c:pt>
                <c:pt idx="7">
                  <c:v>0.40400000000000003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83-4B9F-805D-128F66003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137391"/>
        <c:axId val="327141231"/>
      </c:scatterChart>
      <c:valAx>
        <c:axId val="327137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141231"/>
        <c:crosses val="autoZero"/>
        <c:crossBetween val="midCat"/>
      </c:valAx>
      <c:valAx>
        <c:axId val="32714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137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Chart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'202'!$I$2:$I$11</c:f>
              <c:numCache>
                <c:formatCode>General</c:formatCode>
                <c:ptCount val="10"/>
                <c:pt idx="0">
                  <c:v>314.12</c:v>
                </c:pt>
                <c:pt idx="1">
                  <c:v>477.41</c:v>
                </c:pt>
                <c:pt idx="2">
                  <c:v>494.13</c:v>
                </c:pt>
                <c:pt idx="3">
                  <c:v>507.91</c:v>
                </c:pt>
                <c:pt idx="4">
                  <c:v>523.26</c:v>
                </c:pt>
                <c:pt idx="5">
                  <c:v>540.34</c:v>
                </c:pt>
                <c:pt idx="6">
                  <c:v>555.02</c:v>
                </c:pt>
                <c:pt idx="7">
                  <c:v>568.87</c:v>
                </c:pt>
                <c:pt idx="8">
                  <c:v>586</c:v>
                </c:pt>
                <c:pt idx="9">
                  <c:v>601.21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58-4748-B6E9-F0AC6C62D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159471"/>
        <c:axId val="327159951"/>
      </c:scatterChart>
      <c:valAx>
        <c:axId val="327159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159951"/>
        <c:crosses val="autoZero"/>
        <c:crossBetween val="midCat"/>
      </c:valAx>
      <c:valAx>
        <c:axId val="32715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159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N2O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'202'!$O$2:$O$11</c:f>
              <c:numCache>
                <c:formatCode>General</c:formatCode>
                <c:ptCount val="10"/>
                <c:pt idx="0">
                  <c:v>0.50249999999999995</c:v>
                </c:pt>
                <c:pt idx="1">
                  <c:v>0.40189999999999998</c:v>
                </c:pt>
                <c:pt idx="2">
                  <c:v>0.39789999999999998</c:v>
                </c:pt>
                <c:pt idx="3">
                  <c:v>0.40060000000000001</c:v>
                </c:pt>
                <c:pt idx="4">
                  <c:v>0.4047</c:v>
                </c:pt>
                <c:pt idx="5">
                  <c:v>0.40610000000000002</c:v>
                </c:pt>
                <c:pt idx="6">
                  <c:v>0.40510000000000002</c:v>
                </c:pt>
                <c:pt idx="7">
                  <c:v>0.4148</c:v>
                </c:pt>
                <c:pt idx="8">
                  <c:v>0.4113</c:v>
                </c:pt>
                <c:pt idx="9">
                  <c:v>0.41620000000000001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C0-49C4-A90E-5AB4AF705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242031"/>
        <c:axId val="327233871"/>
      </c:scatterChart>
      <c:valAx>
        <c:axId val="327242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233871"/>
        <c:crosses val="autoZero"/>
        <c:crossBetween val="midCat"/>
      </c:valAx>
      <c:valAx>
        <c:axId val="32723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242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'203'!$I$2:$I$9</c:f>
              <c:numCache>
                <c:formatCode>General</c:formatCode>
                <c:ptCount val="8"/>
                <c:pt idx="0">
                  <c:v>492.77</c:v>
                </c:pt>
                <c:pt idx="1">
                  <c:v>490.8</c:v>
                </c:pt>
                <c:pt idx="2">
                  <c:v>512.01</c:v>
                </c:pt>
                <c:pt idx="3">
                  <c:v>536.95000000000005</c:v>
                </c:pt>
                <c:pt idx="4">
                  <c:v>557.5</c:v>
                </c:pt>
                <c:pt idx="5">
                  <c:v>577.72</c:v>
                </c:pt>
                <c:pt idx="6">
                  <c:v>598.82000000000005</c:v>
                </c:pt>
                <c:pt idx="7">
                  <c:v>619.5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29-4BB6-9ADB-115F54BCB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244431"/>
        <c:axId val="327233391"/>
      </c:scatterChart>
      <c:valAx>
        <c:axId val="327244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233391"/>
        <c:crosses val="autoZero"/>
        <c:crossBetween val="midCat"/>
      </c:valAx>
      <c:valAx>
        <c:axId val="32723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244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'203'!$O$2:$O$9</c:f>
              <c:numCache>
                <c:formatCode>General</c:formatCode>
                <c:ptCount val="8"/>
                <c:pt idx="0">
                  <c:v>0.4078</c:v>
                </c:pt>
                <c:pt idx="1">
                  <c:v>0.42780000000000001</c:v>
                </c:pt>
                <c:pt idx="2">
                  <c:v>0.43619999999999998</c:v>
                </c:pt>
                <c:pt idx="3">
                  <c:v>0.45739999999999997</c:v>
                </c:pt>
                <c:pt idx="4">
                  <c:v>0.46610000000000001</c:v>
                </c:pt>
                <c:pt idx="5">
                  <c:v>0.48580000000000001</c:v>
                </c:pt>
                <c:pt idx="6">
                  <c:v>0.497</c:v>
                </c:pt>
                <c:pt idx="7">
                  <c:v>0.50680000000000003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ED-4C1B-B68B-6E0939A5C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257391"/>
        <c:axId val="327260271"/>
      </c:scatterChart>
      <c:valAx>
        <c:axId val="327257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260271"/>
        <c:crosses val="autoZero"/>
        <c:crossBetween val="midCat"/>
      </c:valAx>
      <c:valAx>
        <c:axId val="32726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257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'204'!$I$2:$I$9</c:f>
              <c:numCache>
                <c:formatCode>General</c:formatCode>
                <c:ptCount val="8"/>
                <c:pt idx="0">
                  <c:v>495.31</c:v>
                </c:pt>
                <c:pt idx="1">
                  <c:v>476.71</c:v>
                </c:pt>
                <c:pt idx="2">
                  <c:v>490.33</c:v>
                </c:pt>
                <c:pt idx="3">
                  <c:v>506.1</c:v>
                </c:pt>
                <c:pt idx="4">
                  <c:v>521.53</c:v>
                </c:pt>
                <c:pt idx="5">
                  <c:v>532.85</c:v>
                </c:pt>
                <c:pt idx="6">
                  <c:v>542.79</c:v>
                </c:pt>
                <c:pt idx="7">
                  <c:v>556.27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10-40B6-95FA-5AE8F2B29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188143"/>
        <c:axId val="218195343"/>
      </c:scatterChart>
      <c:valAx>
        <c:axId val="218188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95343"/>
        <c:crosses val="autoZero"/>
        <c:crossBetween val="midCat"/>
      </c:valAx>
      <c:valAx>
        <c:axId val="21819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88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N2O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'204'!$O$2:$O$9</c:f>
              <c:numCache>
                <c:formatCode>General</c:formatCode>
                <c:ptCount val="8"/>
                <c:pt idx="0">
                  <c:v>0.43930000000000002</c:v>
                </c:pt>
                <c:pt idx="1">
                  <c:v>0.4178</c:v>
                </c:pt>
                <c:pt idx="2">
                  <c:v>0.42699999999999999</c:v>
                </c:pt>
                <c:pt idx="3">
                  <c:v>0.42980000000000002</c:v>
                </c:pt>
                <c:pt idx="4">
                  <c:v>0.43090000000000001</c:v>
                </c:pt>
                <c:pt idx="5">
                  <c:v>0.43140000000000001</c:v>
                </c:pt>
                <c:pt idx="6">
                  <c:v>0.42759999999999998</c:v>
                </c:pt>
                <c:pt idx="7">
                  <c:v>0.4375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4B-4F5D-8C94-E27B8DCBC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122863"/>
        <c:axId val="218120943"/>
      </c:scatterChart>
      <c:valAx>
        <c:axId val="218122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20943"/>
        <c:crosses val="autoZero"/>
        <c:crossBetween val="midCat"/>
      </c:valAx>
      <c:valAx>
        <c:axId val="21812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22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'205'!$I$2:$I$9</c:f>
              <c:numCache>
                <c:formatCode>General</c:formatCode>
                <c:ptCount val="8"/>
                <c:pt idx="0">
                  <c:v>516.05999999999995</c:v>
                </c:pt>
                <c:pt idx="1">
                  <c:v>554.26</c:v>
                </c:pt>
                <c:pt idx="2">
                  <c:v>607.01</c:v>
                </c:pt>
                <c:pt idx="3">
                  <c:v>661.02</c:v>
                </c:pt>
                <c:pt idx="4">
                  <c:v>704.84</c:v>
                </c:pt>
                <c:pt idx="5">
                  <c:v>741.17</c:v>
                </c:pt>
                <c:pt idx="6">
                  <c:v>781.05</c:v>
                </c:pt>
                <c:pt idx="7">
                  <c:v>815.03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4E-49F6-86E9-73B6891B6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107023"/>
        <c:axId val="218116143"/>
      </c:scatterChart>
      <c:valAx>
        <c:axId val="218107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16143"/>
        <c:crosses val="autoZero"/>
        <c:crossBetween val="midCat"/>
      </c:valAx>
      <c:valAx>
        <c:axId val="21811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07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N2O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'205'!$O$2:$O$9</c:f>
              <c:numCache>
                <c:formatCode>General</c:formatCode>
                <c:ptCount val="8"/>
                <c:pt idx="0">
                  <c:v>0.63470000000000004</c:v>
                </c:pt>
                <c:pt idx="1">
                  <c:v>0.87649999999999995</c:v>
                </c:pt>
                <c:pt idx="2">
                  <c:v>1.0665</c:v>
                </c:pt>
                <c:pt idx="3">
                  <c:v>1.2502</c:v>
                </c:pt>
                <c:pt idx="4">
                  <c:v>1.4154</c:v>
                </c:pt>
                <c:pt idx="5">
                  <c:v>1.5446</c:v>
                </c:pt>
                <c:pt idx="6">
                  <c:v>1.6910000000000001</c:v>
                </c:pt>
                <c:pt idx="7">
                  <c:v>1.802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5D-4AB0-9630-7A4116A0C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117583"/>
        <c:axId val="218129583"/>
      </c:scatterChart>
      <c:valAx>
        <c:axId val="218117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29583"/>
        <c:crosses val="autoZero"/>
        <c:crossBetween val="midCat"/>
      </c:valAx>
      <c:valAx>
        <c:axId val="21812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17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'206'!$I$2:$I$9</c:f>
              <c:numCache>
                <c:formatCode>General</c:formatCode>
                <c:ptCount val="8"/>
                <c:pt idx="0">
                  <c:v>560.86</c:v>
                </c:pt>
                <c:pt idx="1">
                  <c:v>502.21</c:v>
                </c:pt>
                <c:pt idx="2">
                  <c:v>520.03</c:v>
                </c:pt>
                <c:pt idx="3">
                  <c:v>534.78</c:v>
                </c:pt>
                <c:pt idx="4">
                  <c:v>556.63</c:v>
                </c:pt>
                <c:pt idx="5">
                  <c:v>574.73</c:v>
                </c:pt>
                <c:pt idx="6">
                  <c:v>588.82000000000005</c:v>
                </c:pt>
                <c:pt idx="7">
                  <c:v>596.80999999999995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2C-4B02-AF2A-79EBE4E64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117583"/>
        <c:axId val="218107023"/>
      </c:scatterChart>
      <c:valAx>
        <c:axId val="218117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07023"/>
        <c:crosses val="autoZero"/>
        <c:crossBetween val="midCat"/>
      </c:valAx>
      <c:valAx>
        <c:axId val="21810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17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'206'!$O$2:$O$9</c:f>
              <c:numCache>
                <c:formatCode>General</c:formatCode>
                <c:ptCount val="8"/>
                <c:pt idx="0">
                  <c:v>0.81869999999999998</c:v>
                </c:pt>
                <c:pt idx="1">
                  <c:v>0.52459999999999996</c:v>
                </c:pt>
                <c:pt idx="2">
                  <c:v>0.53059999999999996</c:v>
                </c:pt>
                <c:pt idx="3">
                  <c:v>0.53549999999999998</c:v>
                </c:pt>
                <c:pt idx="4">
                  <c:v>0.53580000000000005</c:v>
                </c:pt>
                <c:pt idx="5">
                  <c:v>0.54410000000000003</c:v>
                </c:pt>
                <c:pt idx="6">
                  <c:v>0.5474</c:v>
                </c:pt>
                <c:pt idx="7">
                  <c:v>0.54190000000000005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B7-488E-99DC-DA829FBC9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142063"/>
        <c:axId val="218146863"/>
      </c:scatterChart>
      <c:valAx>
        <c:axId val="21814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46863"/>
        <c:crosses val="autoZero"/>
        <c:crossBetween val="midCat"/>
      </c:valAx>
      <c:valAx>
        <c:axId val="21814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42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'301'!$I$2:$I$10</c:f>
              <c:numCache>
                <c:formatCode>General</c:formatCode>
                <c:ptCount val="9"/>
                <c:pt idx="0">
                  <c:v>536.42999999999995</c:v>
                </c:pt>
                <c:pt idx="1">
                  <c:v>535.48</c:v>
                </c:pt>
                <c:pt idx="2">
                  <c:v>552.52</c:v>
                </c:pt>
                <c:pt idx="3">
                  <c:v>568.4</c:v>
                </c:pt>
                <c:pt idx="4">
                  <c:v>584.95000000000005</c:v>
                </c:pt>
                <c:pt idx="5">
                  <c:v>595.51</c:v>
                </c:pt>
                <c:pt idx="6">
                  <c:v>611.65</c:v>
                </c:pt>
                <c:pt idx="7">
                  <c:v>627.72</c:v>
                </c:pt>
                <c:pt idx="8">
                  <c:v>640.12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E9-4E8C-AB59-6EBB4BEA9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118543"/>
        <c:axId val="218122383"/>
      </c:scatterChart>
      <c:valAx>
        <c:axId val="218118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22383"/>
        <c:crosses val="autoZero"/>
        <c:crossBetween val="midCat"/>
      </c:valAx>
      <c:valAx>
        <c:axId val="21812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18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'301'!$O$2:$O$10</c:f>
              <c:numCache>
                <c:formatCode>General</c:formatCode>
                <c:ptCount val="9"/>
                <c:pt idx="0">
                  <c:v>0.40239999999999998</c:v>
                </c:pt>
                <c:pt idx="1">
                  <c:v>0.37669999999999998</c:v>
                </c:pt>
                <c:pt idx="2">
                  <c:v>0.38229999999999997</c:v>
                </c:pt>
                <c:pt idx="3">
                  <c:v>0.3896</c:v>
                </c:pt>
                <c:pt idx="4">
                  <c:v>0.39550000000000002</c:v>
                </c:pt>
                <c:pt idx="5">
                  <c:v>0.3906</c:v>
                </c:pt>
                <c:pt idx="6">
                  <c:v>0.39760000000000001</c:v>
                </c:pt>
                <c:pt idx="7">
                  <c:v>0.39639999999999997</c:v>
                </c:pt>
                <c:pt idx="8">
                  <c:v>0.40550000000000003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DD-4A93-A631-7597A3DC5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187183"/>
        <c:axId val="218187663"/>
      </c:scatterChart>
      <c:valAx>
        <c:axId val="218187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87663"/>
        <c:crosses val="autoZero"/>
        <c:crossBetween val="midCat"/>
      </c:valAx>
      <c:valAx>
        <c:axId val="21818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87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'302'!$I$2:$I$10</c:f>
              <c:numCache>
                <c:formatCode>General</c:formatCode>
                <c:ptCount val="9"/>
                <c:pt idx="0">
                  <c:v>500.5</c:v>
                </c:pt>
                <c:pt idx="1">
                  <c:v>478.09</c:v>
                </c:pt>
                <c:pt idx="2">
                  <c:v>493.84</c:v>
                </c:pt>
                <c:pt idx="3">
                  <c:v>511.88</c:v>
                </c:pt>
                <c:pt idx="4">
                  <c:v>527.4</c:v>
                </c:pt>
                <c:pt idx="5">
                  <c:v>543.85</c:v>
                </c:pt>
                <c:pt idx="6">
                  <c:v>559.16999999999996</c:v>
                </c:pt>
                <c:pt idx="7">
                  <c:v>574.65</c:v>
                </c:pt>
                <c:pt idx="8">
                  <c:v>588.02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64-4E1C-BAD9-B2DA6BB41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1364415"/>
        <c:axId val="1901364895"/>
      </c:scatterChart>
      <c:valAx>
        <c:axId val="1901364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364895"/>
        <c:crosses val="autoZero"/>
        <c:crossBetween val="midCat"/>
      </c:valAx>
      <c:valAx>
        <c:axId val="190136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364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N2O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'302'!$O$2:$O$10</c:f>
              <c:numCache>
                <c:formatCode>General</c:formatCode>
                <c:ptCount val="9"/>
                <c:pt idx="0">
                  <c:v>0.38090000000000002</c:v>
                </c:pt>
                <c:pt idx="1">
                  <c:v>0.3866</c:v>
                </c:pt>
                <c:pt idx="2">
                  <c:v>0.379</c:v>
                </c:pt>
                <c:pt idx="3">
                  <c:v>0.38840000000000002</c:v>
                </c:pt>
                <c:pt idx="4">
                  <c:v>0.3906</c:v>
                </c:pt>
                <c:pt idx="5">
                  <c:v>0.39629999999999999</c:v>
                </c:pt>
                <c:pt idx="6">
                  <c:v>0.40510000000000002</c:v>
                </c:pt>
                <c:pt idx="7">
                  <c:v>0.4073</c:v>
                </c:pt>
                <c:pt idx="8">
                  <c:v>0.4093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8D-45A4-AB94-B0F49F7E9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1367295"/>
        <c:axId val="1901354815"/>
      </c:scatterChart>
      <c:valAx>
        <c:axId val="1901367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354815"/>
        <c:crosses val="autoZero"/>
        <c:crossBetween val="midCat"/>
      </c:valAx>
      <c:valAx>
        <c:axId val="190135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367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'303'!$I$2:$I$9</c:f>
              <c:numCache>
                <c:formatCode>General</c:formatCode>
                <c:ptCount val="8"/>
                <c:pt idx="0">
                  <c:v>486.85</c:v>
                </c:pt>
                <c:pt idx="1">
                  <c:v>480.93</c:v>
                </c:pt>
                <c:pt idx="2">
                  <c:v>502.71</c:v>
                </c:pt>
                <c:pt idx="3">
                  <c:v>521.38</c:v>
                </c:pt>
                <c:pt idx="4">
                  <c:v>543.89</c:v>
                </c:pt>
                <c:pt idx="5">
                  <c:v>561.39</c:v>
                </c:pt>
                <c:pt idx="6">
                  <c:v>578.48</c:v>
                </c:pt>
                <c:pt idx="7">
                  <c:v>597.32000000000005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98-4288-9859-823C2FB19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5791039"/>
        <c:axId val="1845794879"/>
      </c:scatterChart>
      <c:valAx>
        <c:axId val="1845791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794879"/>
        <c:crosses val="autoZero"/>
        <c:crossBetween val="midCat"/>
      </c:valAx>
      <c:valAx>
        <c:axId val="184579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791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N2O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'303'!$O$2:$O$9</c:f>
              <c:numCache>
                <c:formatCode>General</c:formatCode>
                <c:ptCount val="8"/>
                <c:pt idx="0">
                  <c:v>0.40860000000000002</c:v>
                </c:pt>
                <c:pt idx="1">
                  <c:v>0.43769999999999998</c:v>
                </c:pt>
                <c:pt idx="2">
                  <c:v>0.48249999999999998</c:v>
                </c:pt>
                <c:pt idx="3">
                  <c:v>0.50449999999999995</c:v>
                </c:pt>
                <c:pt idx="4">
                  <c:v>0.54110000000000003</c:v>
                </c:pt>
                <c:pt idx="5">
                  <c:v>0.56789999999999996</c:v>
                </c:pt>
                <c:pt idx="6">
                  <c:v>0.59209999999999996</c:v>
                </c:pt>
                <c:pt idx="7">
                  <c:v>0.62150000000000005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EF-4A22-8FFB-A45F0C3E5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121903"/>
        <c:axId val="218129103"/>
      </c:scatterChart>
      <c:valAx>
        <c:axId val="218121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29103"/>
        <c:crosses val="autoZero"/>
        <c:crossBetween val="midCat"/>
      </c:valAx>
      <c:valAx>
        <c:axId val="21812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21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'304'!$I$2:$I$10</c:f>
              <c:numCache>
                <c:formatCode>General</c:formatCode>
                <c:ptCount val="9"/>
                <c:pt idx="0">
                  <c:v>493.48</c:v>
                </c:pt>
                <c:pt idx="1">
                  <c:v>484.8</c:v>
                </c:pt>
                <c:pt idx="2">
                  <c:v>507.17</c:v>
                </c:pt>
                <c:pt idx="3">
                  <c:v>528.12</c:v>
                </c:pt>
                <c:pt idx="4">
                  <c:v>549.54</c:v>
                </c:pt>
                <c:pt idx="5">
                  <c:v>567.86</c:v>
                </c:pt>
                <c:pt idx="6">
                  <c:v>589.07000000000005</c:v>
                </c:pt>
                <c:pt idx="7">
                  <c:v>604.33000000000004</c:v>
                </c:pt>
                <c:pt idx="8">
                  <c:v>621.83000000000004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FD-487F-A07D-F564A950A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5768479"/>
        <c:axId val="1845779039"/>
      </c:scatterChart>
      <c:valAx>
        <c:axId val="184576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779039"/>
        <c:crosses val="autoZero"/>
        <c:crossBetween val="midCat"/>
      </c:valAx>
      <c:valAx>
        <c:axId val="184577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5768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N2O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'304'!$O$2:$O$10</c:f>
              <c:numCache>
                <c:formatCode>General</c:formatCode>
                <c:ptCount val="9"/>
                <c:pt idx="0">
                  <c:v>0.46039999999999998</c:v>
                </c:pt>
                <c:pt idx="1">
                  <c:v>0.4279</c:v>
                </c:pt>
                <c:pt idx="2">
                  <c:v>0.43559999999999999</c:v>
                </c:pt>
                <c:pt idx="3">
                  <c:v>0.45200000000000001</c:v>
                </c:pt>
                <c:pt idx="4">
                  <c:v>0.45760000000000001</c:v>
                </c:pt>
                <c:pt idx="5">
                  <c:v>0.47210000000000002</c:v>
                </c:pt>
                <c:pt idx="6">
                  <c:v>0.48349999999999999</c:v>
                </c:pt>
                <c:pt idx="7">
                  <c:v>0.48909999999999998</c:v>
                </c:pt>
                <c:pt idx="8">
                  <c:v>0.49759999999999999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02-4E87-B52B-FE0AAA288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232911"/>
        <c:axId val="327234831"/>
      </c:scatterChart>
      <c:valAx>
        <c:axId val="32723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234831"/>
        <c:crosses val="autoZero"/>
        <c:crossBetween val="midCat"/>
      </c:valAx>
      <c:valAx>
        <c:axId val="32723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232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'305'!$I$2:$I$11</c:f>
              <c:numCache>
                <c:formatCode>General</c:formatCode>
                <c:ptCount val="10"/>
                <c:pt idx="0">
                  <c:v>493.04</c:v>
                </c:pt>
                <c:pt idx="1">
                  <c:v>476.24</c:v>
                </c:pt>
                <c:pt idx="2">
                  <c:v>494.53</c:v>
                </c:pt>
                <c:pt idx="3">
                  <c:v>512.48</c:v>
                </c:pt>
                <c:pt idx="4">
                  <c:v>530.98</c:v>
                </c:pt>
                <c:pt idx="5">
                  <c:v>546.47</c:v>
                </c:pt>
                <c:pt idx="6">
                  <c:v>561.78</c:v>
                </c:pt>
                <c:pt idx="7">
                  <c:v>577.28</c:v>
                </c:pt>
                <c:pt idx="8">
                  <c:v>592.15</c:v>
                </c:pt>
                <c:pt idx="9">
                  <c:v>606.57000000000005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EB-42DF-ABA0-7729F9D94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145071"/>
        <c:axId val="327136911"/>
      </c:scatterChart>
      <c:valAx>
        <c:axId val="327145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136911"/>
        <c:crosses val="autoZero"/>
        <c:crossBetween val="midCat"/>
      </c:valAx>
      <c:valAx>
        <c:axId val="32713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145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N2O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'305'!$O$2:$O$11</c:f>
              <c:numCache>
                <c:formatCode>General</c:formatCode>
                <c:ptCount val="10"/>
                <c:pt idx="0">
                  <c:v>0.42309999999999998</c:v>
                </c:pt>
                <c:pt idx="1">
                  <c:v>0.40150000000000002</c:v>
                </c:pt>
                <c:pt idx="2">
                  <c:v>0.40600000000000003</c:v>
                </c:pt>
                <c:pt idx="3">
                  <c:v>0.41</c:v>
                </c:pt>
                <c:pt idx="4">
                  <c:v>0.42099999999999999</c:v>
                </c:pt>
                <c:pt idx="5">
                  <c:v>0.4148</c:v>
                </c:pt>
                <c:pt idx="6">
                  <c:v>0.4204</c:v>
                </c:pt>
                <c:pt idx="7">
                  <c:v>0.42209999999999998</c:v>
                </c:pt>
                <c:pt idx="8">
                  <c:v>0.4194</c:v>
                </c:pt>
                <c:pt idx="9">
                  <c:v>0.42349999999999999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76-4F15-A9E5-914A0ABD7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163311"/>
        <c:axId val="327192591"/>
      </c:scatterChart>
      <c:valAx>
        <c:axId val="327163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192591"/>
        <c:crosses val="autoZero"/>
        <c:crossBetween val="midCat"/>
      </c:valAx>
      <c:valAx>
        <c:axId val="32719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163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'306'!$I$2:$I$11</c:f>
              <c:numCache>
                <c:formatCode>General</c:formatCode>
                <c:ptCount val="10"/>
                <c:pt idx="0">
                  <c:v>514.4</c:v>
                </c:pt>
                <c:pt idx="1">
                  <c:v>512.15</c:v>
                </c:pt>
                <c:pt idx="2">
                  <c:v>538.76</c:v>
                </c:pt>
                <c:pt idx="3">
                  <c:v>561.98</c:v>
                </c:pt>
                <c:pt idx="4">
                  <c:v>581.82000000000005</c:v>
                </c:pt>
                <c:pt idx="5">
                  <c:v>603.24</c:v>
                </c:pt>
                <c:pt idx="6">
                  <c:v>623.22</c:v>
                </c:pt>
                <c:pt idx="7">
                  <c:v>641.85</c:v>
                </c:pt>
                <c:pt idx="8">
                  <c:v>661.18</c:v>
                </c:pt>
                <c:pt idx="9">
                  <c:v>680.13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A2-449A-BBA1-A8EF7ECE5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194511"/>
        <c:axId val="327213231"/>
      </c:scatterChart>
      <c:valAx>
        <c:axId val="32719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213231"/>
        <c:crosses val="autoZero"/>
        <c:crossBetween val="midCat"/>
      </c:valAx>
      <c:valAx>
        <c:axId val="32721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194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'306'!$O$2:$O$11</c:f>
              <c:numCache>
                <c:formatCode>General</c:formatCode>
                <c:ptCount val="10"/>
                <c:pt idx="0">
                  <c:v>0.42759999999999998</c:v>
                </c:pt>
                <c:pt idx="1">
                  <c:v>0.44009999999999999</c:v>
                </c:pt>
                <c:pt idx="2">
                  <c:v>0.45440000000000003</c:v>
                </c:pt>
                <c:pt idx="3">
                  <c:v>0.46510000000000001</c:v>
                </c:pt>
                <c:pt idx="4">
                  <c:v>0.47970000000000002</c:v>
                </c:pt>
                <c:pt idx="5">
                  <c:v>0.49109999999999998</c:v>
                </c:pt>
                <c:pt idx="6">
                  <c:v>0.50190000000000001</c:v>
                </c:pt>
                <c:pt idx="7">
                  <c:v>0.51590000000000003</c:v>
                </c:pt>
                <c:pt idx="8">
                  <c:v>0.52629999999999999</c:v>
                </c:pt>
                <c:pt idx="9">
                  <c:v>0.54010000000000002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F1-4756-94F7-7A5847515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126223"/>
        <c:axId val="218136303"/>
      </c:scatterChart>
      <c:valAx>
        <c:axId val="218126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36303"/>
        <c:crosses val="autoZero"/>
        <c:crossBetween val="midCat"/>
      </c:valAx>
      <c:valAx>
        <c:axId val="21813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26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'401'!$I$2:$I$9</c:f>
              <c:numCache>
                <c:formatCode>General</c:formatCode>
                <c:ptCount val="8"/>
                <c:pt idx="0">
                  <c:v>509.64</c:v>
                </c:pt>
                <c:pt idx="1">
                  <c:v>500.59</c:v>
                </c:pt>
                <c:pt idx="2">
                  <c:v>520.71</c:v>
                </c:pt>
                <c:pt idx="3">
                  <c:v>544.19000000000005</c:v>
                </c:pt>
                <c:pt idx="4">
                  <c:v>568.94000000000005</c:v>
                </c:pt>
                <c:pt idx="5">
                  <c:v>588.51</c:v>
                </c:pt>
                <c:pt idx="6">
                  <c:v>607.29</c:v>
                </c:pt>
                <c:pt idx="7">
                  <c:v>628.62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11-482E-8D02-0D151FBBF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246351"/>
        <c:axId val="327249231"/>
      </c:scatterChart>
      <c:valAx>
        <c:axId val="327246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249231"/>
        <c:crosses val="autoZero"/>
        <c:crossBetween val="midCat"/>
      </c:valAx>
      <c:valAx>
        <c:axId val="32724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246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N2O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'401'!$O$2:$O$9</c:f>
              <c:numCache>
                <c:formatCode>General</c:formatCode>
                <c:ptCount val="8"/>
                <c:pt idx="0">
                  <c:v>0.42909999999999998</c:v>
                </c:pt>
                <c:pt idx="1">
                  <c:v>0.4209</c:v>
                </c:pt>
                <c:pt idx="2">
                  <c:v>0.4254</c:v>
                </c:pt>
                <c:pt idx="3">
                  <c:v>0.44290000000000002</c:v>
                </c:pt>
                <c:pt idx="4">
                  <c:v>0.4587</c:v>
                </c:pt>
                <c:pt idx="5">
                  <c:v>0.47339999999999999</c:v>
                </c:pt>
                <c:pt idx="6">
                  <c:v>0.4758</c:v>
                </c:pt>
                <c:pt idx="7">
                  <c:v>0.49580000000000002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17-4B77-BE86-0281314BD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186703"/>
        <c:axId val="218181903"/>
      </c:scatterChart>
      <c:valAx>
        <c:axId val="218186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81903"/>
        <c:crosses val="autoZero"/>
        <c:crossBetween val="midCat"/>
      </c:valAx>
      <c:valAx>
        <c:axId val="2181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86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'402'!$I$2:$I$10</c:f>
              <c:numCache>
                <c:formatCode>General</c:formatCode>
                <c:ptCount val="9"/>
                <c:pt idx="0">
                  <c:v>524.36</c:v>
                </c:pt>
                <c:pt idx="1">
                  <c:v>507.56</c:v>
                </c:pt>
                <c:pt idx="2">
                  <c:v>524.1</c:v>
                </c:pt>
                <c:pt idx="3">
                  <c:v>538.55999999999995</c:v>
                </c:pt>
                <c:pt idx="4">
                  <c:v>554.49</c:v>
                </c:pt>
                <c:pt idx="5">
                  <c:v>569.58000000000004</c:v>
                </c:pt>
                <c:pt idx="6">
                  <c:v>586.9</c:v>
                </c:pt>
                <c:pt idx="7">
                  <c:v>603.36</c:v>
                </c:pt>
                <c:pt idx="8">
                  <c:v>619.66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1C-4D27-B11D-63F5F8445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180943"/>
        <c:axId val="218197743"/>
      </c:scatterChart>
      <c:valAx>
        <c:axId val="21818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97743"/>
        <c:crosses val="autoZero"/>
        <c:crossBetween val="midCat"/>
      </c:valAx>
      <c:valAx>
        <c:axId val="21819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180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N2O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'402'!$O$2:$O$10</c:f>
              <c:numCache>
                <c:formatCode>General</c:formatCode>
                <c:ptCount val="9"/>
                <c:pt idx="0">
                  <c:v>0.42449999999999999</c:v>
                </c:pt>
                <c:pt idx="1">
                  <c:v>0.4083</c:v>
                </c:pt>
                <c:pt idx="2">
                  <c:v>0.4153</c:v>
                </c:pt>
                <c:pt idx="3">
                  <c:v>0.42309999999999998</c:v>
                </c:pt>
                <c:pt idx="4">
                  <c:v>0.42620000000000002</c:v>
                </c:pt>
                <c:pt idx="5">
                  <c:v>0.43559999999999999</c:v>
                </c:pt>
                <c:pt idx="6">
                  <c:v>0.44590000000000002</c:v>
                </c:pt>
                <c:pt idx="7">
                  <c:v>0.44590000000000002</c:v>
                </c:pt>
                <c:pt idx="8">
                  <c:v>0.45469999999999999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F2-4386-9B66-85926AB0C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9505439"/>
        <c:axId val="1899506399"/>
      </c:scatterChart>
      <c:valAx>
        <c:axId val="1899505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506399"/>
        <c:crosses val="autoZero"/>
        <c:crossBetween val="midCat"/>
      </c:valAx>
      <c:valAx>
        <c:axId val="189950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505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'403'!$I$2:$I$10</c:f>
              <c:numCache>
                <c:formatCode>General</c:formatCode>
                <c:ptCount val="9"/>
                <c:pt idx="0">
                  <c:v>504.98</c:v>
                </c:pt>
                <c:pt idx="1">
                  <c:v>497.11</c:v>
                </c:pt>
                <c:pt idx="2">
                  <c:v>521.91</c:v>
                </c:pt>
                <c:pt idx="3">
                  <c:v>547.94000000000005</c:v>
                </c:pt>
                <c:pt idx="4">
                  <c:v>571.44000000000005</c:v>
                </c:pt>
                <c:pt idx="5">
                  <c:v>590.16</c:v>
                </c:pt>
                <c:pt idx="6">
                  <c:v>613.12</c:v>
                </c:pt>
                <c:pt idx="7">
                  <c:v>634.12</c:v>
                </c:pt>
                <c:pt idx="8">
                  <c:v>652.1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AF-4131-A097-9A4FC3324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1721103"/>
        <c:axId val="1903098367"/>
      </c:scatterChart>
      <c:valAx>
        <c:axId val="1811721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098367"/>
        <c:crosses val="autoZero"/>
        <c:crossBetween val="midCat"/>
      </c:valAx>
      <c:valAx>
        <c:axId val="190309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721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N2O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'403'!$O$2:$O$10</c:f>
              <c:numCache>
                <c:formatCode>General</c:formatCode>
                <c:ptCount val="9"/>
                <c:pt idx="0">
                  <c:v>0.41899999999999998</c:v>
                </c:pt>
                <c:pt idx="1">
                  <c:v>0.42970000000000003</c:v>
                </c:pt>
                <c:pt idx="2">
                  <c:v>0.4461</c:v>
                </c:pt>
                <c:pt idx="3">
                  <c:v>0.46689999999999998</c:v>
                </c:pt>
                <c:pt idx="4">
                  <c:v>0.47489999999999999</c:v>
                </c:pt>
                <c:pt idx="5">
                  <c:v>0.48449999999999999</c:v>
                </c:pt>
                <c:pt idx="6">
                  <c:v>0.50390000000000001</c:v>
                </c:pt>
                <c:pt idx="7">
                  <c:v>0.51480000000000004</c:v>
                </c:pt>
                <c:pt idx="8">
                  <c:v>0.52370000000000005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8C-4C06-8205-6AAEB58C0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9520095"/>
        <c:axId val="329522015"/>
      </c:scatterChart>
      <c:valAx>
        <c:axId val="32952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22015"/>
        <c:crosses val="autoZero"/>
        <c:crossBetween val="midCat"/>
      </c:valAx>
      <c:valAx>
        <c:axId val="32952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20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Chart</a:t>
            </a:r>
            <a:r>
              <a:rPr lang="en-GB" baseline="0"/>
              <a:t> title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'404'!$I$2:$I$9</c:f>
              <c:numCache>
                <c:formatCode>General</c:formatCode>
                <c:ptCount val="8"/>
                <c:pt idx="0">
                  <c:v>519.46</c:v>
                </c:pt>
                <c:pt idx="1">
                  <c:v>503.43</c:v>
                </c:pt>
                <c:pt idx="2">
                  <c:v>532.75</c:v>
                </c:pt>
                <c:pt idx="3">
                  <c:v>558.24</c:v>
                </c:pt>
                <c:pt idx="4">
                  <c:v>583.70000000000005</c:v>
                </c:pt>
                <c:pt idx="5">
                  <c:v>603.59</c:v>
                </c:pt>
                <c:pt idx="6">
                  <c:v>630.39</c:v>
                </c:pt>
                <c:pt idx="7">
                  <c:v>658.49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EE-42DE-87B4-FA90AB807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672479"/>
        <c:axId val="252671519"/>
      </c:scatterChart>
      <c:valAx>
        <c:axId val="252672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671519"/>
        <c:crosses val="autoZero"/>
        <c:crossBetween val="midCat"/>
      </c:valAx>
      <c:valAx>
        <c:axId val="25267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672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N2O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'404'!$O$2:$O$9</c:f>
              <c:numCache>
                <c:formatCode>General</c:formatCode>
                <c:ptCount val="8"/>
                <c:pt idx="0">
                  <c:v>0.43990000000000001</c:v>
                </c:pt>
                <c:pt idx="1">
                  <c:v>0.42249999999999999</c:v>
                </c:pt>
                <c:pt idx="2">
                  <c:v>0.43190000000000001</c:v>
                </c:pt>
                <c:pt idx="3">
                  <c:v>0.43459999999999999</c:v>
                </c:pt>
                <c:pt idx="4">
                  <c:v>0.43530000000000002</c:v>
                </c:pt>
                <c:pt idx="5">
                  <c:v>0.4446</c:v>
                </c:pt>
                <c:pt idx="6">
                  <c:v>0.45</c:v>
                </c:pt>
                <c:pt idx="7">
                  <c:v>0.46129999999999999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BE-4175-9243-DBF0471D3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5549791"/>
        <c:axId val="1905546911"/>
      </c:scatterChart>
      <c:valAx>
        <c:axId val="1905549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546911"/>
        <c:crosses val="autoZero"/>
        <c:crossBetween val="midCat"/>
      </c:valAx>
      <c:valAx>
        <c:axId val="190554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549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'405'!$I$2:$I$9</c:f>
              <c:numCache>
                <c:formatCode>General</c:formatCode>
                <c:ptCount val="8"/>
                <c:pt idx="0">
                  <c:v>512.70000000000005</c:v>
                </c:pt>
                <c:pt idx="1">
                  <c:v>493.12</c:v>
                </c:pt>
                <c:pt idx="2">
                  <c:v>516.05999999999995</c:v>
                </c:pt>
                <c:pt idx="3">
                  <c:v>540.29</c:v>
                </c:pt>
                <c:pt idx="4">
                  <c:v>556.80999999999995</c:v>
                </c:pt>
                <c:pt idx="5">
                  <c:v>583.71</c:v>
                </c:pt>
                <c:pt idx="6">
                  <c:v>605.62</c:v>
                </c:pt>
                <c:pt idx="7">
                  <c:v>621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B3-4A97-B4C1-2BB6211DC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7854463"/>
        <c:axId val="1897851583"/>
      </c:scatterChart>
      <c:valAx>
        <c:axId val="1897854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851583"/>
        <c:crosses val="autoZero"/>
        <c:crossBetween val="midCat"/>
      </c:valAx>
      <c:valAx>
        <c:axId val="189785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854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N2O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'405'!$O$2:$O$9</c:f>
              <c:numCache>
                <c:formatCode>General</c:formatCode>
                <c:ptCount val="8"/>
                <c:pt idx="0">
                  <c:v>0.43070000000000003</c:v>
                </c:pt>
                <c:pt idx="1">
                  <c:v>0.42909999999999998</c:v>
                </c:pt>
                <c:pt idx="2">
                  <c:v>0.43390000000000001</c:v>
                </c:pt>
                <c:pt idx="3">
                  <c:v>0.43380000000000002</c:v>
                </c:pt>
                <c:pt idx="4">
                  <c:v>0.44309999999999999</c:v>
                </c:pt>
                <c:pt idx="5">
                  <c:v>0.45679999999999998</c:v>
                </c:pt>
                <c:pt idx="6">
                  <c:v>0.4622</c:v>
                </c:pt>
                <c:pt idx="7">
                  <c:v>0.46920000000000001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49-4F34-8B9B-41E323AD9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1722063"/>
        <c:axId val="1811721103"/>
      </c:scatterChart>
      <c:valAx>
        <c:axId val="1811722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721103"/>
        <c:crosses val="autoZero"/>
        <c:crossBetween val="midCat"/>
      </c:valAx>
      <c:valAx>
        <c:axId val="181172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722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'406'!$I$2:$I$9</c:f>
              <c:numCache>
                <c:formatCode>General</c:formatCode>
                <c:ptCount val="8"/>
                <c:pt idx="0">
                  <c:v>510.68</c:v>
                </c:pt>
                <c:pt idx="1">
                  <c:v>501.44</c:v>
                </c:pt>
                <c:pt idx="2">
                  <c:v>522.48</c:v>
                </c:pt>
                <c:pt idx="3">
                  <c:v>545.91</c:v>
                </c:pt>
                <c:pt idx="4">
                  <c:v>570.9</c:v>
                </c:pt>
                <c:pt idx="5">
                  <c:v>591.16</c:v>
                </c:pt>
                <c:pt idx="6">
                  <c:v>614.33000000000004</c:v>
                </c:pt>
                <c:pt idx="7">
                  <c:v>632.74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5F-41C8-A289-FFCC62191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740831"/>
        <c:axId val="387741311"/>
      </c:scatterChart>
      <c:valAx>
        <c:axId val="38774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41311"/>
        <c:crosses val="autoZero"/>
        <c:crossBetween val="midCat"/>
      </c:valAx>
      <c:valAx>
        <c:axId val="38774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40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N2O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'406'!$O$2:$O$9</c:f>
              <c:numCache>
                <c:formatCode>General</c:formatCode>
                <c:ptCount val="8"/>
                <c:pt idx="0">
                  <c:v>0.44219999999999998</c:v>
                </c:pt>
                <c:pt idx="1">
                  <c:v>0.44740000000000002</c:v>
                </c:pt>
                <c:pt idx="2">
                  <c:v>0.45440000000000003</c:v>
                </c:pt>
                <c:pt idx="3">
                  <c:v>0.46489999999999998</c:v>
                </c:pt>
                <c:pt idx="4">
                  <c:v>0.48299999999999998</c:v>
                </c:pt>
                <c:pt idx="5">
                  <c:v>0.49120000000000003</c:v>
                </c:pt>
                <c:pt idx="6">
                  <c:v>0.50470000000000004</c:v>
                </c:pt>
                <c:pt idx="7">
                  <c:v>0.50719999999999998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F0-4714-9021-59B2F042B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2918255"/>
        <c:axId val="2042919215"/>
      </c:scatterChart>
      <c:valAx>
        <c:axId val="2042918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919215"/>
        <c:crosses val="autoZero"/>
        <c:crossBetween val="midCat"/>
      </c:valAx>
      <c:valAx>
        <c:axId val="204291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918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586740</xdr:colOff>
      <xdr:row>26</xdr:row>
      <xdr:rowOff>11430</xdr:rowOff>
    </xdr:from>
    <xdr:to>
      <xdr:col>21</xdr:col>
      <xdr:colOff>281940</xdr:colOff>
      <xdr:row>41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8DBA2C-4624-8552-783B-771EE05CB6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289560</xdr:colOff>
      <xdr:row>26</xdr:row>
      <xdr:rowOff>171450</xdr:rowOff>
    </xdr:from>
    <xdr:to>
      <xdr:col>10</xdr:col>
      <xdr:colOff>594360</xdr:colOff>
      <xdr:row>41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4859B1-26D5-0991-CD01-A5AE4ECE30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198120</xdr:colOff>
      <xdr:row>25</xdr:row>
      <xdr:rowOff>72390</xdr:rowOff>
    </xdr:from>
    <xdr:to>
      <xdr:col>11</xdr:col>
      <xdr:colOff>502920</xdr:colOff>
      <xdr:row>40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8C58EB-736A-E433-4A9F-EBC8EF6DD3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426720</xdr:colOff>
      <xdr:row>26</xdr:row>
      <xdr:rowOff>26670</xdr:rowOff>
    </xdr:from>
    <xdr:to>
      <xdr:col>21</xdr:col>
      <xdr:colOff>121920</xdr:colOff>
      <xdr:row>41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6C82B2-E1E1-5D6A-C76B-EC10FD154D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91440</xdr:colOff>
      <xdr:row>24</xdr:row>
      <xdr:rowOff>72390</xdr:rowOff>
    </xdr:from>
    <xdr:to>
      <xdr:col>13</xdr:col>
      <xdr:colOff>396240</xdr:colOff>
      <xdr:row>39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995615-E2FE-84EC-EEA5-ABDAEB0B96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350520</xdr:colOff>
      <xdr:row>26</xdr:row>
      <xdr:rowOff>3810</xdr:rowOff>
    </xdr:from>
    <xdr:to>
      <xdr:col>23</xdr:col>
      <xdr:colOff>45720</xdr:colOff>
      <xdr:row>41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3057B6-A1E8-0930-07B9-B971F3D98D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106680</xdr:colOff>
      <xdr:row>24</xdr:row>
      <xdr:rowOff>57150</xdr:rowOff>
    </xdr:from>
    <xdr:to>
      <xdr:col>11</xdr:col>
      <xdr:colOff>411480</xdr:colOff>
      <xdr:row>39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58CEC2-33E0-BE7A-0500-9E81B74997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274320</xdr:colOff>
      <xdr:row>24</xdr:row>
      <xdr:rowOff>118110</xdr:rowOff>
    </xdr:from>
    <xdr:to>
      <xdr:col>22</xdr:col>
      <xdr:colOff>579120</xdr:colOff>
      <xdr:row>39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D12162-2293-16C9-DAF4-6B46BC8F05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320040</xdr:colOff>
      <xdr:row>24</xdr:row>
      <xdr:rowOff>102870</xdr:rowOff>
    </xdr:from>
    <xdr:to>
      <xdr:col>12</xdr:col>
      <xdr:colOff>15240</xdr:colOff>
      <xdr:row>39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D3DE04-CD5A-DA21-10E9-1888602B5C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228600</xdr:colOff>
      <xdr:row>25</xdr:row>
      <xdr:rowOff>80010</xdr:rowOff>
    </xdr:from>
    <xdr:to>
      <xdr:col>21</xdr:col>
      <xdr:colOff>533400</xdr:colOff>
      <xdr:row>40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36646F-D9C0-BF18-0590-4505CAB7F3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26</xdr:row>
      <xdr:rowOff>148590</xdr:rowOff>
    </xdr:from>
    <xdr:to>
      <xdr:col>11</xdr:col>
      <xdr:colOff>190500</xdr:colOff>
      <xdr:row>41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E115A8-419B-961D-9C67-15885BBE5A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160020</xdr:colOff>
      <xdr:row>27</xdr:row>
      <xdr:rowOff>26670</xdr:rowOff>
    </xdr:from>
    <xdr:to>
      <xdr:col>22</xdr:col>
      <xdr:colOff>464820</xdr:colOff>
      <xdr:row>42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72B8F9-3EBF-10AA-BADA-240EB949DE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312420</xdr:colOff>
      <xdr:row>25</xdr:row>
      <xdr:rowOff>19050</xdr:rowOff>
    </xdr:from>
    <xdr:to>
      <xdr:col>12</xdr:col>
      <xdr:colOff>7620</xdr:colOff>
      <xdr:row>40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8B7631-64EF-8803-1E44-70F71F32FA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38100</xdr:colOff>
      <xdr:row>24</xdr:row>
      <xdr:rowOff>163830</xdr:rowOff>
    </xdr:from>
    <xdr:to>
      <xdr:col>21</xdr:col>
      <xdr:colOff>342900</xdr:colOff>
      <xdr:row>39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4C7F75-AD6E-F572-BD55-F1A1549937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25</xdr:row>
      <xdr:rowOff>140970</xdr:rowOff>
    </xdr:from>
    <xdr:to>
      <xdr:col>11</xdr:col>
      <xdr:colOff>152400</xdr:colOff>
      <xdr:row>40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F663BE-2059-A1D4-452A-E63450672E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502920</xdr:colOff>
      <xdr:row>25</xdr:row>
      <xdr:rowOff>179070</xdr:rowOff>
    </xdr:from>
    <xdr:to>
      <xdr:col>22</xdr:col>
      <xdr:colOff>198120</xdr:colOff>
      <xdr:row>40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E5D00E-FA7F-03CF-888C-6E86DCD5D4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259080</xdr:colOff>
      <xdr:row>24</xdr:row>
      <xdr:rowOff>171450</xdr:rowOff>
    </xdr:from>
    <xdr:to>
      <xdr:col>10</xdr:col>
      <xdr:colOff>563880</xdr:colOff>
      <xdr:row>39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210A36-8C24-F02B-C0FF-E3B33CF109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327660</xdr:colOff>
      <xdr:row>25</xdr:row>
      <xdr:rowOff>3810</xdr:rowOff>
    </xdr:from>
    <xdr:to>
      <xdr:col>22</xdr:col>
      <xdr:colOff>22860</xdr:colOff>
      <xdr:row>40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11947D-2D49-5564-2B85-5D79D02D08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441960</xdr:colOff>
      <xdr:row>25</xdr:row>
      <xdr:rowOff>3810</xdr:rowOff>
    </xdr:from>
    <xdr:to>
      <xdr:col>10</xdr:col>
      <xdr:colOff>137160</xdr:colOff>
      <xdr:row>40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8B968C-69B9-B6DA-8B24-3A5362DFAF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457200</xdr:colOff>
      <xdr:row>24</xdr:row>
      <xdr:rowOff>156210</xdr:rowOff>
    </xdr:from>
    <xdr:to>
      <xdr:col>23</xdr:col>
      <xdr:colOff>152400</xdr:colOff>
      <xdr:row>39</xdr:row>
      <xdr:rowOff>156210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E122D5-9A7A-8F1C-563C-AFE48E2FF8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335280</xdr:colOff>
      <xdr:row>24</xdr:row>
      <xdr:rowOff>163830</xdr:rowOff>
    </xdr:from>
    <xdr:to>
      <xdr:col>11</xdr:col>
      <xdr:colOff>30480</xdr:colOff>
      <xdr:row>39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6CB667-E968-D842-A7CE-7C727BD179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342900</xdr:colOff>
      <xdr:row>24</xdr:row>
      <xdr:rowOff>179070</xdr:rowOff>
    </xdr:from>
    <xdr:to>
      <xdr:col>23</xdr:col>
      <xdr:colOff>38100</xdr:colOff>
      <xdr:row>39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E25AF2-C253-9CCA-FDDC-6614D43459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601980</xdr:colOff>
      <xdr:row>24</xdr:row>
      <xdr:rowOff>179070</xdr:rowOff>
    </xdr:from>
    <xdr:to>
      <xdr:col>9</xdr:col>
      <xdr:colOff>297180</xdr:colOff>
      <xdr:row>39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F65107-56CE-B7C1-5F65-D806CCEF51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121920</xdr:colOff>
      <xdr:row>24</xdr:row>
      <xdr:rowOff>140970</xdr:rowOff>
    </xdr:from>
    <xdr:to>
      <xdr:col>22</xdr:col>
      <xdr:colOff>426720</xdr:colOff>
      <xdr:row>39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55B4BA-9583-D081-2027-57A10A07B6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25</xdr:row>
      <xdr:rowOff>140970</xdr:rowOff>
    </xdr:from>
    <xdr:to>
      <xdr:col>10</xdr:col>
      <xdr:colOff>297180</xdr:colOff>
      <xdr:row>40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8CEBF9-6A3B-1F6E-E04D-4414FF44D5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510540</xdr:colOff>
      <xdr:row>25</xdr:row>
      <xdr:rowOff>49530</xdr:rowOff>
    </xdr:from>
    <xdr:to>
      <xdr:col>23</xdr:col>
      <xdr:colOff>205740</xdr:colOff>
      <xdr:row>40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79E49C-2221-D034-6808-FA5368A7FA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487680</xdr:colOff>
      <xdr:row>26</xdr:row>
      <xdr:rowOff>11430</xdr:rowOff>
    </xdr:from>
    <xdr:to>
      <xdr:col>9</xdr:col>
      <xdr:colOff>182880</xdr:colOff>
      <xdr:row>41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C2346E-B180-71B1-E51D-34DB0C7FDD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7620</xdr:colOff>
      <xdr:row>25</xdr:row>
      <xdr:rowOff>140970</xdr:rowOff>
    </xdr:from>
    <xdr:to>
      <xdr:col>23</xdr:col>
      <xdr:colOff>312420</xdr:colOff>
      <xdr:row>40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92AAEF-DF6B-6E67-67C5-E694AA2EF3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525780</xdr:colOff>
      <xdr:row>25</xdr:row>
      <xdr:rowOff>148590</xdr:rowOff>
    </xdr:from>
    <xdr:to>
      <xdr:col>9</xdr:col>
      <xdr:colOff>220980</xdr:colOff>
      <xdr:row>40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1DF0EF-41A3-F581-F94B-28E5AC202B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358140</xdr:colOff>
      <xdr:row>26</xdr:row>
      <xdr:rowOff>80010</xdr:rowOff>
    </xdr:from>
    <xdr:to>
      <xdr:col>23</xdr:col>
      <xdr:colOff>53340</xdr:colOff>
      <xdr:row>41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C1BECB-AE05-80FC-BE0A-224AAA9368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</xdr:colOff>
      <xdr:row>25</xdr:row>
      <xdr:rowOff>156210</xdr:rowOff>
    </xdr:from>
    <xdr:to>
      <xdr:col>9</xdr:col>
      <xdr:colOff>365760</xdr:colOff>
      <xdr:row>40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8FC024-CD6B-6ABB-593B-2BB56CB374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601980</xdr:colOff>
      <xdr:row>25</xdr:row>
      <xdr:rowOff>156210</xdr:rowOff>
    </xdr:from>
    <xdr:to>
      <xdr:col>22</xdr:col>
      <xdr:colOff>297180</xdr:colOff>
      <xdr:row>40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A03E4A-F0C7-7B5F-2B3C-AC8458B38E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502920</xdr:colOff>
      <xdr:row>25</xdr:row>
      <xdr:rowOff>140970</xdr:rowOff>
    </xdr:from>
    <xdr:to>
      <xdr:col>10</xdr:col>
      <xdr:colOff>198120</xdr:colOff>
      <xdr:row>40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7D9080-8D7B-FA2E-0220-450B462AF0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548640</xdr:colOff>
      <xdr:row>25</xdr:row>
      <xdr:rowOff>118110</xdr:rowOff>
    </xdr:from>
    <xdr:to>
      <xdr:col>23</xdr:col>
      <xdr:colOff>243840</xdr:colOff>
      <xdr:row>40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E63F71-9177-37A3-90CF-6CAB97B78D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182880</xdr:colOff>
      <xdr:row>25</xdr:row>
      <xdr:rowOff>95250</xdr:rowOff>
    </xdr:from>
    <xdr:to>
      <xdr:col>10</xdr:col>
      <xdr:colOff>487680</xdr:colOff>
      <xdr:row>40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06366F-F9DA-C938-D301-6300A9EB3A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274320</xdr:colOff>
      <xdr:row>26</xdr:row>
      <xdr:rowOff>11430</xdr:rowOff>
    </xdr:from>
    <xdr:to>
      <xdr:col>22</xdr:col>
      <xdr:colOff>579120</xdr:colOff>
      <xdr:row>41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A53DCD-FA13-338F-46C3-35296E3CAE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342900</xdr:colOff>
      <xdr:row>24</xdr:row>
      <xdr:rowOff>95250</xdr:rowOff>
    </xdr:from>
    <xdr:to>
      <xdr:col>9</xdr:col>
      <xdr:colOff>38100</xdr:colOff>
      <xdr:row>39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DDFD18-8288-3BE2-E5AA-29BCF8C580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419100</xdr:colOff>
      <xdr:row>24</xdr:row>
      <xdr:rowOff>49530</xdr:rowOff>
    </xdr:from>
    <xdr:to>
      <xdr:col>23</xdr:col>
      <xdr:colOff>114300</xdr:colOff>
      <xdr:row>39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701211-BCE3-3FC0-A0FF-632B7CCEB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99060</xdr:colOff>
      <xdr:row>24</xdr:row>
      <xdr:rowOff>72390</xdr:rowOff>
    </xdr:from>
    <xdr:to>
      <xdr:col>10</xdr:col>
      <xdr:colOff>403860</xdr:colOff>
      <xdr:row>39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1D0632-7C3C-40C8-F15B-4A81BF7DDE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541020</xdr:colOff>
      <xdr:row>24</xdr:row>
      <xdr:rowOff>133350</xdr:rowOff>
    </xdr:from>
    <xdr:to>
      <xdr:col>22</xdr:col>
      <xdr:colOff>236220</xdr:colOff>
      <xdr:row>39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F67690-2F33-F383-6FD6-F1E9AB3E62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251460</xdr:colOff>
      <xdr:row>25</xdr:row>
      <xdr:rowOff>72390</xdr:rowOff>
    </xdr:from>
    <xdr:to>
      <xdr:col>9</xdr:col>
      <xdr:colOff>556260</xdr:colOff>
      <xdr:row>40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182635-84C5-7A04-D3B0-47B0B4D4E9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312420</xdr:colOff>
      <xdr:row>25</xdr:row>
      <xdr:rowOff>140970</xdr:rowOff>
    </xdr:from>
    <xdr:to>
      <xdr:col>23</xdr:col>
      <xdr:colOff>7620</xdr:colOff>
      <xdr:row>40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AEA3D4-7692-C8CF-9FC5-9F21F82885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24</xdr:row>
      <xdr:rowOff>133350</xdr:rowOff>
    </xdr:from>
    <xdr:to>
      <xdr:col>9</xdr:col>
      <xdr:colOff>571500</xdr:colOff>
      <xdr:row>39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625A63-1905-5DFD-1F53-4AB856A69B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266700</xdr:colOff>
      <xdr:row>24</xdr:row>
      <xdr:rowOff>163830</xdr:rowOff>
    </xdr:from>
    <xdr:to>
      <xdr:col>18</xdr:col>
      <xdr:colOff>571500</xdr:colOff>
      <xdr:row>39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11BCD2-AA29-4CC2-44F3-DAAE09DAA4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175260</xdr:colOff>
      <xdr:row>23</xdr:row>
      <xdr:rowOff>156210</xdr:rowOff>
    </xdr:from>
    <xdr:to>
      <xdr:col>9</xdr:col>
      <xdr:colOff>480060</xdr:colOff>
      <xdr:row>38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54FD11-0E94-15E0-7FBF-AA05F4A50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297180</xdr:colOff>
      <xdr:row>23</xdr:row>
      <xdr:rowOff>118110</xdr:rowOff>
    </xdr:from>
    <xdr:to>
      <xdr:col>22</xdr:col>
      <xdr:colOff>601980</xdr:colOff>
      <xdr:row>38</xdr:row>
      <xdr:rowOff>118110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2F6112-B1B3-6E54-3FC4-0B9A14044A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533400</xdr:colOff>
      <xdr:row>24</xdr:row>
      <xdr:rowOff>34290</xdr:rowOff>
    </xdr:from>
    <xdr:to>
      <xdr:col>9</xdr:col>
      <xdr:colOff>228600</xdr:colOff>
      <xdr:row>39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006D67-CB54-DA8A-95AC-F574C4B023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76200</xdr:colOff>
      <xdr:row>25</xdr:row>
      <xdr:rowOff>19050</xdr:rowOff>
    </xdr:from>
    <xdr:to>
      <xdr:col>20</xdr:col>
      <xdr:colOff>381000</xdr:colOff>
      <xdr:row>40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3BBC0F-08D6-93B8-E232-BFA5F30C24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921C7-FCE3-48A5-AAFF-F12F572DAD5A}">
  <dimension ref="A1:AB44"/>
  <sheetViews>
    <sheetView tabSelected="1" topLeftCell="C1" workbookViewId="0">
      <selection activeCell="H15" sqref="H15"/>
    </sheetView>
  </sheetViews>
  <sheetFormatPr defaultRowHeight="14.4" x14ac:dyDescent="0.3"/>
  <cols>
    <col min="8" max="8" width="31.6640625" bestFit="1" customWidth="1"/>
  </cols>
  <sheetData>
    <row r="1" spans="1:27" x14ac:dyDescent="0.3">
      <c r="A1" t="s">
        <v>253</v>
      </c>
    </row>
    <row r="2" spans="1:27" x14ac:dyDescent="0.3">
      <c r="A2" t="s">
        <v>254</v>
      </c>
    </row>
    <row r="3" spans="1:27" x14ac:dyDescent="0.3">
      <c r="K3" t="s">
        <v>259</v>
      </c>
      <c r="U3" t="s">
        <v>259</v>
      </c>
    </row>
    <row r="4" spans="1:27" x14ac:dyDescent="0.3">
      <c r="A4" s="17" t="s">
        <v>255</v>
      </c>
      <c r="B4" s="17" t="s">
        <v>257</v>
      </c>
      <c r="C4" s="17" t="s">
        <v>256</v>
      </c>
      <c r="D4" s="17" t="s">
        <v>231</v>
      </c>
      <c r="E4" s="17" t="s">
        <v>249</v>
      </c>
      <c r="K4" t="s">
        <v>260</v>
      </c>
      <c r="U4" t="s">
        <v>260</v>
      </c>
    </row>
    <row r="5" spans="1:27" x14ac:dyDescent="0.3">
      <c r="A5">
        <v>101</v>
      </c>
      <c r="B5">
        <v>1</v>
      </c>
      <c r="C5">
        <v>1</v>
      </c>
      <c r="D5">
        <v>2.9564420629988817</v>
      </c>
      <c r="E5">
        <v>0.32420638003013347</v>
      </c>
      <c r="K5" t="s">
        <v>261</v>
      </c>
      <c r="U5" t="s">
        <v>261</v>
      </c>
    </row>
    <row r="6" spans="1:27" x14ac:dyDescent="0.3">
      <c r="A6">
        <v>102</v>
      </c>
      <c r="B6">
        <v>1</v>
      </c>
      <c r="C6">
        <v>6</v>
      </c>
      <c r="D6">
        <v>3.684242256994684</v>
      </c>
      <c r="E6">
        <v>0.2646253580005668</v>
      </c>
      <c r="K6" t="s">
        <v>260</v>
      </c>
      <c r="U6" t="s">
        <v>260</v>
      </c>
    </row>
    <row r="7" spans="1:27" x14ac:dyDescent="0.3">
      <c r="A7">
        <v>103</v>
      </c>
      <c r="B7">
        <v>1</v>
      </c>
      <c r="C7">
        <v>5</v>
      </c>
      <c r="D7">
        <v>3.0118530196353372</v>
      </c>
      <c r="E7">
        <v>0.44865416026492105</v>
      </c>
      <c r="H7" s="18" t="s">
        <v>258</v>
      </c>
      <c r="K7" t="s">
        <v>262</v>
      </c>
      <c r="L7" t="s">
        <v>263</v>
      </c>
      <c r="M7" t="s">
        <v>264</v>
      </c>
      <c r="N7" t="s">
        <v>265</v>
      </c>
      <c r="O7" t="s">
        <v>266</v>
      </c>
      <c r="P7" t="s">
        <v>267</v>
      </c>
      <c r="U7" t="s">
        <v>262</v>
      </c>
      <c r="V7" t="s">
        <v>263</v>
      </c>
      <c r="W7" t="s">
        <v>286</v>
      </c>
      <c r="X7" t="s">
        <v>264</v>
      </c>
      <c r="Y7" t="s">
        <v>265</v>
      </c>
      <c r="Z7" t="s">
        <v>266</v>
      </c>
      <c r="AA7" t="s">
        <v>267</v>
      </c>
    </row>
    <row r="8" spans="1:27" x14ac:dyDescent="0.3">
      <c r="A8">
        <v>104</v>
      </c>
      <c r="B8">
        <v>1</v>
      </c>
      <c r="C8">
        <v>4</v>
      </c>
      <c r="D8">
        <v>3.0471014335549031</v>
      </c>
      <c r="E8" s="18">
        <v>1.2112359312900258</v>
      </c>
      <c r="K8" t="s">
        <v>260</v>
      </c>
      <c r="U8" t="s">
        <v>260</v>
      </c>
    </row>
    <row r="9" spans="1:27" x14ac:dyDescent="0.3">
      <c r="A9">
        <v>105</v>
      </c>
      <c r="B9">
        <v>1</v>
      </c>
      <c r="C9">
        <v>2</v>
      </c>
      <c r="D9">
        <v>3.1315200586865215</v>
      </c>
      <c r="E9">
        <v>0.23731208077885013</v>
      </c>
      <c r="K9" t="s">
        <v>268</v>
      </c>
      <c r="L9">
        <v>3</v>
      </c>
      <c r="M9">
        <v>9.202</v>
      </c>
      <c r="N9">
        <v>3.0670000000000002</v>
      </c>
      <c r="O9">
        <v>0.72</v>
      </c>
      <c r="P9" t="s">
        <v>260</v>
      </c>
      <c r="U9" t="s">
        <v>268</v>
      </c>
      <c r="V9">
        <v>3</v>
      </c>
      <c r="W9" t="s">
        <v>260</v>
      </c>
      <c r="X9">
        <v>0.46010000000000001</v>
      </c>
      <c r="Y9">
        <v>0.15340000000000001</v>
      </c>
      <c r="Z9">
        <v>0.71</v>
      </c>
      <c r="AA9" t="s">
        <v>260</v>
      </c>
    </row>
    <row r="10" spans="1:27" x14ac:dyDescent="0.3">
      <c r="A10">
        <v>106</v>
      </c>
      <c r="B10">
        <v>1</v>
      </c>
      <c r="C10">
        <v>3</v>
      </c>
      <c r="D10">
        <v>3.7126016563672866</v>
      </c>
      <c r="E10">
        <v>0.23931025603139613</v>
      </c>
      <c r="K10" t="s">
        <v>260</v>
      </c>
      <c r="U10" t="s">
        <v>260</v>
      </c>
    </row>
    <row r="11" spans="1:27" x14ac:dyDescent="0.3">
      <c r="A11">
        <v>201</v>
      </c>
      <c r="B11">
        <v>2</v>
      </c>
      <c r="C11">
        <v>6</v>
      </c>
      <c r="D11">
        <v>3.5024342173958427</v>
      </c>
      <c r="E11">
        <v>0.2753715654320622</v>
      </c>
      <c r="K11" t="s">
        <v>269</v>
      </c>
      <c r="U11" t="s">
        <v>269</v>
      </c>
    </row>
    <row r="12" spans="1:27" x14ac:dyDescent="0.3">
      <c r="A12">
        <v>202</v>
      </c>
      <c r="B12">
        <v>2</v>
      </c>
      <c r="C12">
        <v>1</v>
      </c>
      <c r="D12">
        <v>3.4877843960232111</v>
      </c>
      <c r="E12">
        <v>0.12005528614873463</v>
      </c>
      <c r="K12" t="s">
        <v>270</v>
      </c>
      <c r="L12">
        <v>5</v>
      </c>
      <c r="M12">
        <v>24.35</v>
      </c>
      <c r="N12">
        <v>4.87</v>
      </c>
      <c r="O12">
        <v>1.1499999999999999</v>
      </c>
      <c r="P12">
        <v>0.378</v>
      </c>
      <c r="U12" t="s">
        <v>270</v>
      </c>
      <c r="V12">
        <v>5</v>
      </c>
      <c r="W12" t="s">
        <v>260</v>
      </c>
      <c r="X12">
        <v>0.75060000000000004</v>
      </c>
      <c r="Y12">
        <v>0.15010000000000001</v>
      </c>
      <c r="Z12">
        <v>0.69</v>
      </c>
      <c r="AA12">
        <v>0.63700000000000001</v>
      </c>
    </row>
    <row r="13" spans="1:27" x14ac:dyDescent="0.3">
      <c r="A13">
        <v>203</v>
      </c>
      <c r="B13">
        <v>2</v>
      </c>
      <c r="C13">
        <v>3</v>
      </c>
      <c r="D13">
        <v>4.821268189064619</v>
      </c>
      <c r="E13">
        <v>0.88191371955679321</v>
      </c>
      <c r="K13" t="s">
        <v>271</v>
      </c>
      <c r="L13">
        <v>15</v>
      </c>
      <c r="M13">
        <v>63.567999999999998</v>
      </c>
      <c r="N13">
        <v>4.2380000000000004</v>
      </c>
      <c r="O13" t="s">
        <v>260</v>
      </c>
      <c r="P13" t="s">
        <v>260</v>
      </c>
      <c r="U13" t="s">
        <v>271</v>
      </c>
      <c r="V13">
        <v>14</v>
      </c>
      <c r="W13">
        <v>-1</v>
      </c>
      <c r="X13">
        <v>3.0318000000000001</v>
      </c>
      <c r="Y13">
        <v>0.21659999999999999</v>
      </c>
      <c r="Z13" t="s">
        <v>260</v>
      </c>
      <c r="AA13" t="s">
        <v>260</v>
      </c>
    </row>
    <row r="14" spans="1:27" x14ac:dyDescent="0.3">
      <c r="A14">
        <v>204</v>
      </c>
      <c r="B14">
        <v>2</v>
      </c>
      <c r="C14">
        <v>5</v>
      </c>
      <c r="D14">
        <v>2.9804203350581289</v>
      </c>
      <c r="E14">
        <v>0.21992025664897238</v>
      </c>
      <c r="K14" t="s">
        <v>260</v>
      </c>
      <c r="U14" t="s">
        <v>260</v>
      </c>
    </row>
    <row r="15" spans="1:27" x14ac:dyDescent="0.3">
      <c r="A15">
        <v>205</v>
      </c>
      <c r="B15">
        <v>2</v>
      </c>
      <c r="C15">
        <v>4</v>
      </c>
      <c r="D15" s="18">
        <v>9.822308496516138</v>
      </c>
      <c r="E15" s="18">
        <v>10.388399206314585</v>
      </c>
      <c r="H15" s="18" t="s">
        <v>285</v>
      </c>
      <c r="K15" t="s">
        <v>272</v>
      </c>
      <c r="L15">
        <v>23</v>
      </c>
      <c r="M15">
        <v>97.12</v>
      </c>
      <c r="N15" t="s">
        <v>260</v>
      </c>
      <c r="O15" t="s">
        <v>260</v>
      </c>
      <c r="P15" t="s">
        <v>260</v>
      </c>
      <c r="U15" t="s">
        <v>272</v>
      </c>
      <c r="V15">
        <v>22</v>
      </c>
      <c r="W15">
        <v>-1</v>
      </c>
      <c r="X15">
        <v>4.2423999999999999</v>
      </c>
      <c r="Y15" t="s">
        <v>260</v>
      </c>
      <c r="Z15" t="s">
        <v>260</v>
      </c>
      <c r="AA15" t="s">
        <v>260</v>
      </c>
    </row>
    <row r="16" spans="1:27" x14ac:dyDescent="0.3">
      <c r="A16">
        <v>206</v>
      </c>
      <c r="B16">
        <v>2</v>
      </c>
      <c r="C16">
        <v>2</v>
      </c>
      <c r="D16">
        <v>3.5535207739773358</v>
      </c>
      <c r="E16">
        <v>0.19365561308840235</v>
      </c>
      <c r="K16" t="s">
        <v>260</v>
      </c>
      <c r="U16" t="s">
        <v>260</v>
      </c>
    </row>
    <row r="17" spans="1:28" x14ac:dyDescent="0.3">
      <c r="A17">
        <v>301</v>
      </c>
      <c r="B17">
        <v>3</v>
      </c>
      <c r="C17">
        <v>6</v>
      </c>
      <c r="D17">
        <v>3.3612651263255464</v>
      </c>
      <c r="E17">
        <v>0.27568541494816917</v>
      </c>
      <c r="K17" t="s">
        <v>260</v>
      </c>
      <c r="U17" t="s">
        <v>260</v>
      </c>
    </row>
    <row r="18" spans="1:28" x14ac:dyDescent="0.3">
      <c r="A18">
        <v>302</v>
      </c>
      <c r="B18">
        <v>3</v>
      </c>
      <c r="C18">
        <v>5</v>
      </c>
      <c r="D18">
        <v>3.5311914691988475</v>
      </c>
      <c r="E18">
        <v>0.33825298357684591</v>
      </c>
      <c r="K18" t="s">
        <v>273</v>
      </c>
      <c r="U18" t="s">
        <v>273</v>
      </c>
    </row>
    <row r="19" spans="1:28" x14ac:dyDescent="0.3">
      <c r="A19">
        <v>303</v>
      </c>
      <c r="B19">
        <v>3</v>
      </c>
      <c r="C19">
        <v>2</v>
      </c>
      <c r="D19">
        <v>4.3601196932807404</v>
      </c>
      <c r="E19" s="18">
        <v>2.0518448310701092</v>
      </c>
      <c r="K19" t="s">
        <v>260</v>
      </c>
      <c r="U19" t="s">
        <v>260</v>
      </c>
    </row>
    <row r="20" spans="1:28" x14ac:dyDescent="0.3">
      <c r="A20">
        <v>304</v>
      </c>
      <c r="B20">
        <v>3</v>
      </c>
      <c r="C20">
        <v>4</v>
      </c>
      <c r="D20">
        <v>4.4120110388835512</v>
      </c>
      <c r="E20">
        <v>0.66875951604929318</v>
      </c>
      <c r="K20" t="s">
        <v>274</v>
      </c>
      <c r="L20">
        <v>6.15</v>
      </c>
      <c r="M20" t="s">
        <v>275</v>
      </c>
      <c r="U20" t="s">
        <v>287</v>
      </c>
      <c r="V20">
        <v>1.1399999999999999</v>
      </c>
      <c r="W20" t="s">
        <v>288</v>
      </c>
    </row>
    <row r="21" spans="1:28" x14ac:dyDescent="0.3">
      <c r="A21">
        <v>305</v>
      </c>
      <c r="B21">
        <v>3</v>
      </c>
      <c r="C21">
        <v>1</v>
      </c>
      <c r="D21">
        <v>3.649318013135439</v>
      </c>
      <c r="E21">
        <v>0.18357192430074337</v>
      </c>
      <c r="K21" t="s">
        <v>260</v>
      </c>
      <c r="U21" t="s">
        <v>260</v>
      </c>
    </row>
    <row r="22" spans="1:28" x14ac:dyDescent="0.3">
      <c r="A22">
        <v>306</v>
      </c>
      <c r="B22">
        <v>3</v>
      </c>
      <c r="C22">
        <v>3</v>
      </c>
      <c r="D22">
        <v>4.8720046975143845</v>
      </c>
      <c r="E22">
        <v>0.83954745558555521</v>
      </c>
      <c r="K22" t="s">
        <v>260</v>
      </c>
      <c r="U22" t="s">
        <v>260</v>
      </c>
    </row>
    <row r="23" spans="1:28" x14ac:dyDescent="0.3">
      <c r="A23">
        <v>401</v>
      </c>
      <c r="B23">
        <v>4</v>
      </c>
      <c r="C23">
        <v>1</v>
      </c>
      <c r="D23">
        <v>4.8092734111238746</v>
      </c>
      <c r="E23">
        <v>0.83842805897810768</v>
      </c>
      <c r="K23" t="s">
        <v>276</v>
      </c>
      <c r="U23" t="s">
        <v>276</v>
      </c>
    </row>
    <row r="24" spans="1:28" x14ac:dyDescent="0.3">
      <c r="A24">
        <v>402</v>
      </c>
      <c r="B24">
        <v>4</v>
      </c>
      <c r="C24">
        <v>4</v>
      </c>
      <c r="D24">
        <v>3.6008966041771187</v>
      </c>
      <c r="E24">
        <v>0.44415983519427177</v>
      </c>
      <c r="K24" t="s">
        <v>260</v>
      </c>
      <c r="U24" t="s">
        <v>260</v>
      </c>
    </row>
    <row r="25" spans="1:28" x14ac:dyDescent="0.3">
      <c r="A25">
        <v>403</v>
      </c>
      <c r="B25">
        <v>4</v>
      </c>
      <c r="C25">
        <v>3</v>
      </c>
      <c r="D25">
        <v>5.8061255370872225</v>
      </c>
      <c r="E25">
        <v>0.89980656267805104</v>
      </c>
      <c r="K25" t="s">
        <v>261</v>
      </c>
      <c r="U25" t="s">
        <v>261</v>
      </c>
    </row>
    <row r="26" spans="1:28" x14ac:dyDescent="0.3">
      <c r="A26">
        <v>404</v>
      </c>
      <c r="B26">
        <v>4</v>
      </c>
      <c r="C26">
        <v>2</v>
      </c>
      <c r="D26">
        <v>5.8246187231810351</v>
      </c>
      <c r="E26">
        <v>0.43432588368959363</v>
      </c>
      <c r="K26" t="s">
        <v>260</v>
      </c>
      <c r="U26" t="s">
        <v>260</v>
      </c>
    </row>
    <row r="27" spans="1:28" x14ac:dyDescent="0.3">
      <c r="A27">
        <v>405</v>
      </c>
      <c r="B27">
        <v>4</v>
      </c>
      <c r="C27">
        <v>5</v>
      </c>
      <c r="D27">
        <v>4.0570578467420209</v>
      </c>
      <c r="E27">
        <v>0.44765493866110667</v>
      </c>
      <c r="K27" t="s">
        <v>277</v>
      </c>
      <c r="U27" t="s">
        <v>289</v>
      </c>
    </row>
    <row r="28" spans="1:28" x14ac:dyDescent="0.3">
      <c r="A28">
        <v>406</v>
      </c>
      <c r="B28">
        <v>4</v>
      </c>
      <c r="C28">
        <v>6</v>
      </c>
      <c r="D28">
        <v>4.9186675464194609</v>
      </c>
      <c r="E28">
        <v>0.66939917125354853</v>
      </c>
      <c r="K28" t="s">
        <v>260</v>
      </c>
      <c r="U28" t="s">
        <v>260</v>
      </c>
    </row>
    <row r="29" spans="1:28" x14ac:dyDescent="0.3">
      <c r="L29" t="s">
        <v>270</v>
      </c>
      <c r="M29">
        <v>1</v>
      </c>
      <c r="N29">
        <v>2</v>
      </c>
      <c r="O29">
        <v>3</v>
      </c>
      <c r="P29">
        <v>4</v>
      </c>
      <c r="Q29">
        <v>5</v>
      </c>
      <c r="R29">
        <v>6</v>
      </c>
      <c r="V29" t="s">
        <v>270</v>
      </c>
      <c r="W29">
        <v>1</v>
      </c>
      <c r="X29">
        <v>2</v>
      </c>
      <c r="Y29">
        <v>3</v>
      </c>
      <c r="Z29">
        <v>4</v>
      </c>
      <c r="AA29">
        <v>5</v>
      </c>
      <c r="AB29">
        <v>6</v>
      </c>
    </row>
    <row r="30" spans="1:28" x14ac:dyDescent="0.3">
      <c r="M30">
        <v>0.37</v>
      </c>
      <c r="N30">
        <v>0.73</v>
      </c>
      <c r="O30">
        <v>0.72</v>
      </c>
      <c r="P30">
        <v>3.18</v>
      </c>
      <c r="Q30">
        <v>0.36</v>
      </c>
      <c r="R30">
        <v>0.37</v>
      </c>
      <c r="W30">
        <v>0.36699999999999999</v>
      </c>
      <c r="X30">
        <v>0.72899999999999998</v>
      </c>
      <c r="Y30">
        <v>0.71499999999999997</v>
      </c>
      <c r="Z30">
        <v>0.71799999999999997</v>
      </c>
      <c r="AA30">
        <v>0.36399999999999999</v>
      </c>
      <c r="AB30">
        <v>0.371</v>
      </c>
    </row>
    <row r="31" spans="1:28" x14ac:dyDescent="0.3">
      <c r="K31" t="s">
        <v>260</v>
      </c>
      <c r="U31" t="s">
        <v>260</v>
      </c>
    </row>
    <row r="32" spans="1:28" x14ac:dyDescent="0.3">
      <c r="K32" t="s">
        <v>260</v>
      </c>
      <c r="U32" t="s">
        <v>260</v>
      </c>
    </row>
    <row r="33" spans="11:23" x14ac:dyDescent="0.3">
      <c r="K33" t="s">
        <v>278</v>
      </c>
      <c r="U33" t="s">
        <v>278</v>
      </c>
    </row>
    <row r="34" spans="11:23" x14ac:dyDescent="0.3">
      <c r="K34" t="s">
        <v>260</v>
      </c>
      <c r="U34" t="s">
        <v>260</v>
      </c>
    </row>
    <row r="35" spans="11:23" x14ac:dyDescent="0.3">
      <c r="K35" t="s">
        <v>279</v>
      </c>
      <c r="L35" t="s">
        <v>270</v>
      </c>
      <c r="M35" t="s">
        <v>260</v>
      </c>
      <c r="U35" t="s">
        <v>279</v>
      </c>
      <c r="V35" t="s">
        <v>270</v>
      </c>
      <c r="W35" t="s">
        <v>260</v>
      </c>
    </row>
    <row r="36" spans="11:23" x14ac:dyDescent="0.3">
      <c r="K36" t="s">
        <v>280</v>
      </c>
      <c r="L36">
        <v>4</v>
      </c>
      <c r="M36" t="s">
        <v>260</v>
      </c>
      <c r="U36" t="s">
        <v>280</v>
      </c>
      <c r="V36">
        <v>4</v>
      </c>
      <c r="W36" t="s">
        <v>260</v>
      </c>
    </row>
    <row r="37" spans="11:23" x14ac:dyDescent="0.3">
      <c r="K37" t="s">
        <v>263</v>
      </c>
      <c r="L37">
        <v>15</v>
      </c>
      <c r="M37" t="s">
        <v>260</v>
      </c>
      <c r="U37" t="s">
        <v>263</v>
      </c>
      <c r="V37">
        <v>14</v>
      </c>
      <c r="W37" t="s">
        <v>260</v>
      </c>
    </row>
    <row r="38" spans="11:23" x14ac:dyDescent="0.3">
      <c r="K38" t="s">
        <v>281</v>
      </c>
      <c r="L38">
        <v>1.456</v>
      </c>
      <c r="M38" t="s">
        <v>260</v>
      </c>
      <c r="U38" t="s">
        <v>281</v>
      </c>
      <c r="V38">
        <v>0.3291</v>
      </c>
      <c r="W38" t="s">
        <v>260</v>
      </c>
    </row>
    <row r="39" spans="11:23" x14ac:dyDescent="0.3">
      <c r="K39" t="s">
        <v>260</v>
      </c>
      <c r="U39" t="s">
        <v>260</v>
      </c>
    </row>
    <row r="40" spans="11:23" x14ac:dyDescent="0.3">
      <c r="K40" t="s">
        <v>260</v>
      </c>
      <c r="U40" t="s">
        <v>290</v>
      </c>
    </row>
    <row r="41" spans="11:23" x14ac:dyDescent="0.3">
      <c r="K41" t="s">
        <v>282</v>
      </c>
      <c r="U41" t="s">
        <v>260</v>
      </c>
    </row>
    <row r="42" spans="11:23" x14ac:dyDescent="0.3">
      <c r="K42" t="s">
        <v>283</v>
      </c>
      <c r="U42" t="s">
        <v>291</v>
      </c>
    </row>
    <row r="43" spans="11:23" x14ac:dyDescent="0.3">
      <c r="K43" t="s">
        <v>284</v>
      </c>
      <c r="U43" t="s">
        <v>292</v>
      </c>
    </row>
    <row r="44" spans="11:23" x14ac:dyDescent="0.3">
      <c r="U44" t="s">
        <v>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9C4F8-6E07-4901-B143-869A2843662F}">
  <dimension ref="A1:AH28"/>
  <sheetViews>
    <sheetView workbookViewId="0">
      <selection activeCell="I1" sqref="I1"/>
    </sheetView>
  </sheetViews>
  <sheetFormatPr defaultRowHeight="14.4" x14ac:dyDescent="0.3"/>
  <cols>
    <col min="2" max="2" width="10.33203125" bestFit="1" customWidth="1"/>
    <col min="34" max="34" width="10.4414062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</v>
      </c>
      <c r="K1" t="s">
        <v>7</v>
      </c>
      <c r="L1" t="s">
        <v>9</v>
      </c>
      <c r="M1" t="s">
        <v>6</v>
      </c>
      <c r="N1" t="s">
        <v>7</v>
      </c>
      <c r="O1" t="s">
        <v>10</v>
      </c>
      <c r="P1" t="s">
        <v>6</v>
      </c>
      <c r="Q1" t="s">
        <v>7</v>
      </c>
      <c r="R1" t="s">
        <v>11</v>
      </c>
      <c r="S1" t="s">
        <v>6</v>
      </c>
      <c r="T1" t="s">
        <v>7</v>
      </c>
      <c r="U1" t="s">
        <v>12</v>
      </c>
      <c r="V1" t="s">
        <v>6</v>
      </c>
      <c r="W1" t="s">
        <v>7</v>
      </c>
      <c r="X1" t="s">
        <v>13</v>
      </c>
      <c r="Y1" t="s">
        <v>6</v>
      </c>
      <c r="Z1" t="s">
        <v>7</v>
      </c>
      <c r="AA1" t="s">
        <v>14</v>
      </c>
      <c r="AB1" t="s">
        <v>6</v>
      </c>
      <c r="AC1" t="s">
        <v>7</v>
      </c>
      <c r="AD1" t="s">
        <v>15</v>
      </c>
      <c r="AE1" t="s">
        <v>6</v>
      </c>
      <c r="AF1" t="s">
        <v>7</v>
      </c>
      <c r="AG1" t="s">
        <v>16</v>
      </c>
      <c r="AH1" t="s">
        <v>246</v>
      </c>
    </row>
    <row r="2" spans="1:34" x14ac:dyDescent="0.3">
      <c r="A2">
        <v>0</v>
      </c>
      <c r="B2" s="1">
        <v>45777</v>
      </c>
      <c r="C2" s="2">
        <v>0.43561342592592595</v>
      </c>
      <c r="D2" t="s">
        <v>17</v>
      </c>
      <c r="E2" t="s">
        <v>18</v>
      </c>
      <c r="F2">
        <v>1.18</v>
      </c>
      <c r="G2" t="s">
        <v>19</v>
      </c>
      <c r="H2" t="s">
        <v>20</v>
      </c>
      <c r="I2">
        <v>356.37</v>
      </c>
      <c r="J2" t="s">
        <v>21</v>
      </c>
      <c r="K2" t="s">
        <v>20</v>
      </c>
      <c r="L2">
        <v>0</v>
      </c>
      <c r="M2" t="s">
        <v>21</v>
      </c>
      <c r="N2" t="s">
        <v>20</v>
      </c>
      <c r="O2">
        <v>0.25340000000000001</v>
      </c>
      <c r="P2" t="s">
        <v>21</v>
      </c>
      <c r="Q2" t="s">
        <v>20</v>
      </c>
      <c r="R2">
        <v>7.3999999999999996E-2</v>
      </c>
      <c r="S2" t="s">
        <v>21</v>
      </c>
      <c r="T2" t="s">
        <v>20</v>
      </c>
      <c r="U2">
        <v>1.6539999999999999</v>
      </c>
      <c r="V2" t="s">
        <v>21</v>
      </c>
      <c r="W2" t="s">
        <v>20</v>
      </c>
      <c r="X2">
        <v>1019.2</v>
      </c>
      <c r="Y2" t="s">
        <v>22</v>
      </c>
      <c r="Z2" t="s">
        <v>23</v>
      </c>
      <c r="AA2">
        <v>27.97</v>
      </c>
      <c r="AB2" t="s">
        <v>24</v>
      </c>
      <c r="AC2" t="s">
        <v>23</v>
      </c>
      <c r="AD2">
        <v>33.770000000000003</v>
      </c>
      <c r="AE2" t="s">
        <v>24</v>
      </c>
      <c r="AF2" t="s">
        <v>23</v>
      </c>
      <c r="AG2" t="s">
        <v>25</v>
      </c>
      <c r="AH2" s="13">
        <f>HOUR(C2)*3600 + MINUTE(C2)*60 + SECOND(C2)</f>
        <v>37637</v>
      </c>
    </row>
    <row r="3" spans="1:34" x14ac:dyDescent="0.3">
      <c r="A3">
        <v>0</v>
      </c>
      <c r="B3" s="1">
        <v>45777</v>
      </c>
      <c r="C3" s="2">
        <v>0.43631944444444443</v>
      </c>
      <c r="D3" t="s">
        <v>26</v>
      </c>
      <c r="E3" t="s">
        <v>18</v>
      </c>
      <c r="F3">
        <v>1.49</v>
      </c>
      <c r="G3" t="s">
        <v>19</v>
      </c>
      <c r="H3" t="s">
        <v>20</v>
      </c>
      <c r="I3" s="14">
        <v>426.8</v>
      </c>
      <c r="J3" t="s">
        <v>21</v>
      </c>
      <c r="K3" t="s">
        <v>20</v>
      </c>
      <c r="L3">
        <v>0</v>
      </c>
      <c r="M3" t="s">
        <v>21</v>
      </c>
      <c r="N3" t="s">
        <v>20</v>
      </c>
      <c r="O3" s="14">
        <v>0.29389999999999999</v>
      </c>
      <c r="P3" t="s">
        <v>21</v>
      </c>
      <c r="Q3" t="s">
        <v>20</v>
      </c>
      <c r="R3">
        <v>1E-3</v>
      </c>
      <c r="S3" t="s">
        <v>21</v>
      </c>
      <c r="T3" t="s">
        <v>20</v>
      </c>
      <c r="U3">
        <v>1.8919999999999999</v>
      </c>
      <c r="V3" t="s">
        <v>21</v>
      </c>
      <c r="W3" t="s">
        <v>20</v>
      </c>
      <c r="X3">
        <v>1019.4</v>
      </c>
      <c r="Y3" t="s">
        <v>22</v>
      </c>
      <c r="Z3" t="s">
        <v>23</v>
      </c>
      <c r="AA3">
        <v>29.05</v>
      </c>
      <c r="AB3" t="s">
        <v>24</v>
      </c>
      <c r="AC3" t="s">
        <v>23</v>
      </c>
      <c r="AD3">
        <v>37.549999999999997</v>
      </c>
      <c r="AE3" t="s">
        <v>24</v>
      </c>
      <c r="AF3" t="s">
        <v>23</v>
      </c>
      <c r="AG3" t="s">
        <v>25</v>
      </c>
      <c r="AH3" s="13">
        <f t="shared" ref="AH3:AH9" si="0">HOUR(C3)*3600 + MINUTE(C3)*60 + SECOND(C3)</f>
        <v>37698</v>
      </c>
    </row>
    <row r="4" spans="1:34" x14ac:dyDescent="0.3">
      <c r="A4">
        <v>0</v>
      </c>
      <c r="B4" s="1">
        <v>45777</v>
      </c>
      <c r="C4" s="2">
        <v>0.43703703703703706</v>
      </c>
      <c r="D4" t="s">
        <v>27</v>
      </c>
      <c r="E4" t="s">
        <v>18</v>
      </c>
      <c r="F4">
        <v>1.57</v>
      </c>
      <c r="G4" t="s">
        <v>19</v>
      </c>
      <c r="H4" t="s">
        <v>20</v>
      </c>
      <c r="I4" s="14">
        <v>442.99</v>
      </c>
      <c r="J4" t="s">
        <v>21</v>
      </c>
      <c r="K4" t="s">
        <v>20</v>
      </c>
      <c r="L4">
        <v>0</v>
      </c>
      <c r="M4" t="s">
        <v>21</v>
      </c>
      <c r="N4" t="s">
        <v>20</v>
      </c>
      <c r="O4" s="14">
        <v>0.30449999999999999</v>
      </c>
      <c r="P4" t="s">
        <v>21</v>
      </c>
      <c r="Q4" t="s">
        <v>20</v>
      </c>
      <c r="R4">
        <v>0</v>
      </c>
      <c r="S4" t="s">
        <v>21</v>
      </c>
      <c r="T4" t="s">
        <v>20</v>
      </c>
      <c r="U4">
        <v>1.89</v>
      </c>
      <c r="V4" t="s">
        <v>21</v>
      </c>
      <c r="W4" t="s">
        <v>20</v>
      </c>
      <c r="X4">
        <v>1019.5</v>
      </c>
      <c r="Y4" t="s">
        <v>22</v>
      </c>
      <c r="Z4" t="s">
        <v>23</v>
      </c>
      <c r="AA4">
        <v>29.63</v>
      </c>
      <c r="AB4" t="s">
        <v>24</v>
      </c>
      <c r="AC4" t="s">
        <v>23</v>
      </c>
      <c r="AD4">
        <v>40.049999999999997</v>
      </c>
      <c r="AE4" t="s">
        <v>24</v>
      </c>
      <c r="AF4" t="s">
        <v>23</v>
      </c>
      <c r="AG4" t="s">
        <v>25</v>
      </c>
      <c r="AH4" s="13">
        <f t="shared" si="0"/>
        <v>37760</v>
      </c>
    </row>
    <row r="5" spans="1:34" x14ac:dyDescent="0.3">
      <c r="A5">
        <v>0</v>
      </c>
      <c r="B5" s="1">
        <v>45777</v>
      </c>
      <c r="C5" s="2">
        <v>0.43774305555555554</v>
      </c>
      <c r="D5" t="s">
        <v>28</v>
      </c>
      <c r="E5" t="s">
        <v>18</v>
      </c>
      <c r="F5">
        <v>1.64</v>
      </c>
      <c r="G5" t="s">
        <v>19</v>
      </c>
      <c r="H5" t="s">
        <v>20</v>
      </c>
      <c r="I5" s="14">
        <v>456.63</v>
      </c>
      <c r="J5" t="s">
        <v>21</v>
      </c>
      <c r="K5" t="s">
        <v>20</v>
      </c>
      <c r="L5">
        <v>0</v>
      </c>
      <c r="M5" t="s">
        <v>21</v>
      </c>
      <c r="N5" t="s">
        <v>20</v>
      </c>
      <c r="O5" s="14">
        <v>0.30680000000000002</v>
      </c>
      <c r="P5" t="s">
        <v>21</v>
      </c>
      <c r="Q5" t="s">
        <v>20</v>
      </c>
      <c r="R5">
        <v>1.7999999999999999E-2</v>
      </c>
      <c r="S5" t="s">
        <v>21</v>
      </c>
      <c r="T5" t="s">
        <v>20</v>
      </c>
      <c r="U5">
        <v>1.871</v>
      </c>
      <c r="V5" t="s">
        <v>21</v>
      </c>
      <c r="W5" t="s">
        <v>20</v>
      </c>
      <c r="X5">
        <v>1019.7</v>
      </c>
      <c r="Y5" t="s">
        <v>22</v>
      </c>
      <c r="Z5" t="s">
        <v>23</v>
      </c>
      <c r="AA5">
        <v>30.12</v>
      </c>
      <c r="AB5" t="s">
        <v>24</v>
      </c>
      <c r="AC5" t="s">
        <v>23</v>
      </c>
      <c r="AD5">
        <v>41.87</v>
      </c>
      <c r="AE5" t="s">
        <v>24</v>
      </c>
      <c r="AF5" t="s">
        <v>23</v>
      </c>
      <c r="AG5" t="s">
        <v>25</v>
      </c>
      <c r="AH5" s="13">
        <f t="shared" si="0"/>
        <v>37821</v>
      </c>
    </row>
    <row r="6" spans="1:34" x14ac:dyDescent="0.3">
      <c r="A6">
        <v>0</v>
      </c>
      <c r="B6" s="1">
        <v>45777</v>
      </c>
      <c r="C6" s="2">
        <v>0.43844907407407407</v>
      </c>
      <c r="D6" t="s">
        <v>29</v>
      </c>
      <c r="E6" t="s">
        <v>18</v>
      </c>
      <c r="F6">
        <v>1.69</v>
      </c>
      <c r="G6" t="s">
        <v>19</v>
      </c>
      <c r="H6" t="s">
        <v>20</v>
      </c>
      <c r="I6" s="14">
        <v>469.59</v>
      </c>
      <c r="J6" t="s">
        <v>21</v>
      </c>
      <c r="K6" t="s">
        <v>20</v>
      </c>
      <c r="L6">
        <v>0</v>
      </c>
      <c r="M6" t="s">
        <v>21</v>
      </c>
      <c r="N6" t="s">
        <v>20</v>
      </c>
      <c r="O6" s="14">
        <v>0.31009999999999999</v>
      </c>
      <c r="P6" t="s">
        <v>21</v>
      </c>
      <c r="Q6" t="s">
        <v>20</v>
      </c>
      <c r="R6">
        <v>2.3E-2</v>
      </c>
      <c r="S6" t="s">
        <v>21</v>
      </c>
      <c r="T6" t="s">
        <v>20</v>
      </c>
      <c r="U6">
        <v>1.877</v>
      </c>
      <c r="V6" t="s">
        <v>21</v>
      </c>
      <c r="W6" t="s">
        <v>20</v>
      </c>
      <c r="X6">
        <v>1019.8</v>
      </c>
      <c r="Y6" t="s">
        <v>22</v>
      </c>
      <c r="Z6" t="s">
        <v>23</v>
      </c>
      <c r="AA6">
        <v>30.54</v>
      </c>
      <c r="AB6" t="s">
        <v>24</v>
      </c>
      <c r="AC6" t="s">
        <v>23</v>
      </c>
      <c r="AD6">
        <v>43.29</v>
      </c>
      <c r="AE6" t="s">
        <v>24</v>
      </c>
      <c r="AF6" t="s">
        <v>23</v>
      </c>
      <c r="AG6" t="s">
        <v>25</v>
      </c>
      <c r="AH6" s="13">
        <f t="shared" si="0"/>
        <v>37882</v>
      </c>
    </row>
    <row r="7" spans="1:34" x14ac:dyDescent="0.3">
      <c r="A7">
        <v>0</v>
      </c>
      <c r="B7" s="1">
        <v>45777</v>
      </c>
      <c r="C7" s="2">
        <v>0.43916666666666665</v>
      </c>
      <c r="D7" t="s">
        <v>30</v>
      </c>
      <c r="E7" t="s">
        <v>18</v>
      </c>
      <c r="F7">
        <v>1.74</v>
      </c>
      <c r="G7" t="s">
        <v>19</v>
      </c>
      <c r="H7" t="s">
        <v>20</v>
      </c>
      <c r="I7" s="14">
        <v>481.6</v>
      </c>
      <c r="J7" t="s">
        <v>21</v>
      </c>
      <c r="K7" t="s">
        <v>20</v>
      </c>
      <c r="L7">
        <v>0</v>
      </c>
      <c r="M7" t="s">
        <v>21</v>
      </c>
      <c r="N7" t="s">
        <v>20</v>
      </c>
      <c r="O7" s="14">
        <v>0.31390000000000001</v>
      </c>
      <c r="P7" t="s">
        <v>21</v>
      </c>
      <c r="Q7" t="s">
        <v>20</v>
      </c>
      <c r="R7">
        <v>2.9000000000000001E-2</v>
      </c>
      <c r="S7" t="s">
        <v>21</v>
      </c>
      <c r="T7" t="s">
        <v>20</v>
      </c>
      <c r="U7">
        <v>1.8759999999999999</v>
      </c>
      <c r="V7" t="s">
        <v>21</v>
      </c>
      <c r="W7" t="s">
        <v>20</v>
      </c>
      <c r="X7">
        <v>1019.9</v>
      </c>
      <c r="Y7" t="s">
        <v>22</v>
      </c>
      <c r="Z7" t="s">
        <v>23</v>
      </c>
      <c r="AA7">
        <v>30.95</v>
      </c>
      <c r="AB7" t="s">
        <v>24</v>
      </c>
      <c r="AC7" t="s">
        <v>23</v>
      </c>
      <c r="AD7">
        <v>44.43</v>
      </c>
      <c r="AE7" t="s">
        <v>24</v>
      </c>
      <c r="AF7" t="s">
        <v>23</v>
      </c>
      <c r="AG7" t="s">
        <v>25</v>
      </c>
      <c r="AH7" s="13">
        <f t="shared" si="0"/>
        <v>37944</v>
      </c>
    </row>
    <row r="8" spans="1:34" x14ac:dyDescent="0.3">
      <c r="A8">
        <v>0</v>
      </c>
      <c r="B8" s="1">
        <v>45777</v>
      </c>
      <c r="C8" s="2">
        <v>0.43987268518518519</v>
      </c>
      <c r="D8" t="s">
        <v>31</v>
      </c>
      <c r="E8" t="s">
        <v>18</v>
      </c>
      <c r="F8">
        <v>1.79</v>
      </c>
      <c r="G8" t="s">
        <v>19</v>
      </c>
      <c r="H8" t="s">
        <v>20</v>
      </c>
      <c r="I8" s="14">
        <v>494.42</v>
      </c>
      <c r="J8" t="s">
        <v>21</v>
      </c>
      <c r="K8" t="s">
        <v>20</v>
      </c>
      <c r="L8">
        <v>0</v>
      </c>
      <c r="M8" t="s">
        <v>21</v>
      </c>
      <c r="N8" t="s">
        <v>20</v>
      </c>
      <c r="O8" s="14">
        <v>0.31730000000000003</v>
      </c>
      <c r="P8" t="s">
        <v>21</v>
      </c>
      <c r="Q8" t="s">
        <v>20</v>
      </c>
      <c r="R8">
        <v>2.5000000000000001E-2</v>
      </c>
      <c r="S8" t="s">
        <v>21</v>
      </c>
      <c r="T8" t="s">
        <v>20</v>
      </c>
      <c r="U8">
        <v>1.8759999999999999</v>
      </c>
      <c r="V8" t="s">
        <v>21</v>
      </c>
      <c r="W8" t="s">
        <v>20</v>
      </c>
      <c r="X8">
        <v>1020</v>
      </c>
      <c r="Y8" t="s">
        <v>22</v>
      </c>
      <c r="Z8" t="s">
        <v>23</v>
      </c>
      <c r="AA8">
        <v>31.21</v>
      </c>
      <c r="AB8" t="s">
        <v>24</v>
      </c>
      <c r="AC8" t="s">
        <v>23</v>
      </c>
      <c r="AD8">
        <v>45.42</v>
      </c>
      <c r="AE8" t="s">
        <v>24</v>
      </c>
      <c r="AF8" t="s">
        <v>23</v>
      </c>
      <c r="AG8" t="s">
        <v>25</v>
      </c>
      <c r="AH8" s="13">
        <f t="shared" si="0"/>
        <v>38005</v>
      </c>
    </row>
    <row r="9" spans="1:34" x14ac:dyDescent="0.3">
      <c r="A9">
        <v>0</v>
      </c>
      <c r="B9" s="1">
        <v>45777</v>
      </c>
      <c r="C9" s="2">
        <v>0.44059027777777776</v>
      </c>
      <c r="D9" t="s">
        <v>32</v>
      </c>
      <c r="E9" t="s">
        <v>18</v>
      </c>
      <c r="F9">
        <v>1.83</v>
      </c>
      <c r="G9" t="s">
        <v>19</v>
      </c>
      <c r="H9" t="s">
        <v>20</v>
      </c>
      <c r="I9" s="14">
        <v>506.15</v>
      </c>
      <c r="J9" t="s">
        <v>21</v>
      </c>
      <c r="K9" t="s">
        <v>20</v>
      </c>
      <c r="L9">
        <v>0</v>
      </c>
      <c r="M9" t="s">
        <v>21</v>
      </c>
      <c r="N9" t="s">
        <v>20</v>
      </c>
      <c r="O9" s="14">
        <v>0.3231</v>
      </c>
      <c r="P9" t="s">
        <v>21</v>
      </c>
      <c r="Q9" t="s">
        <v>20</v>
      </c>
      <c r="R9">
        <v>0.02</v>
      </c>
      <c r="S9" t="s">
        <v>21</v>
      </c>
      <c r="T9" t="s">
        <v>20</v>
      </c>
      <c r="U9">
        <v>1.877</v>
      </c>
      <c r="V9" t="s">
        <v>21</v>
      </c>
      <c r="W9" t="s">
        <v>20</v>
      </c>
      <c r="X9">
        <v>1020</v>
      </c>
      <c r="Y9" t="s">
        <v>22</v>
      </c>
      <c r="Z9" t="s">
        <v>23</v>
      </c>
      <c r="AA9">
        <v>31.68</v>
      </c>
      <c r="AB9" t="s">
        <v>24</v>
      </c>
      <c r="AC9" t="s">
        <v>23</v>
      </c>
      <c r="AD9">
        <v>46.23</v>
      </c>
      <c r="AE9" t="s">
        <v>24</v>
      </c>
      <c r="AF9" t="s">
        <v>23</v>
      </c>
      <c r="AG9" t="s">
        <v>25</v>
      </c>
      <c r="AH9" s="13">
        <f t="shared" si="0"/>
        <v>38067</v>
      </c>
    </row>
    <row r="13" spans="1:34" ht="23.4" x14ac:dyDescent="0.45">
      <c r="A13" s="3" t="s">
        <v>231</v>
      </c>
      <c r="O13" s="4" t="s">
        <v>232</v>
      </c>
    </row>
    <row r="14" spans="1:34" x14ac:dyDescent="0.3">
      <c r="B14" t="s">
        <v>233</v>
      </c>
      <c r="C14">
        <f>L21</f>
        <v>79.349999999999966</v>
      </c>
      <c r="F14" t="s">
        <v>234</v>
      </c>
      <c r="G14" s="5">
        <f>C16</f>
        <v>0.21504065040650397</v>
      </c>
      <c r="M14" s="5"/>
      <c r="P14" t="s">
        <v>233</v>
      </c>
      <c r="Q14">
        <f>Z21</f>
        <v>2.9200000000000004E-2</v>
      </c>
      <c r="T14" t="s">
        <v>234</v>
      </c>
      <c r="U14" s="5">
        <f>Q16</f>
        <v>7.9132791327913286E-5</v>
      </c>
      <c r="AA14" s="7"/>
    </row>
    <row r="15" spans="1:34" x14ac:dyDescent="0.3">
      <c r="B15" t="s">
        <v>2</v>
      </c>
      <c r="C15" s="5">
        <f>M21</f>
        <v>369</v>
      </c>
      <c r="F15" t="s">
        <v>235</v>
      </c>
      <c r="G15" s="8">
        <v>9.6699999999999998E-3</v>
      </c>
      <c r="M15" s="5"/>
      <c r="P15" t="s">
        <v>2</v>
      </c>
      <c r="Q15" s="5">
        <f>AA21</f>
        <v>369</v>
      </c>
      <c r="T15" t="s">
        <v>235</v>
      </c>
      <c r="U15" s="8">
        <v>9.6699999999999998E-3</v>
      </c>
      <c r="AA15" s="7"/>
    </row>
    <row r="16" spans="1:34" x14ac:dyDescent="0.3">
      <c r="B16" t="s">
        <v>236</v>
      </c>
      <c r="C16" s="5">
        <f>C14/C15</f>
        <v>0.21504065040650397</v>
      </c>
      <c r="F16" t="s">
        <v>237</v>
      </c>
      <c r="G16">
        <f>22.4*10^-3</f>
        <v>2.24E-2</v>
      </c>
      <c r="M16" s="5"/>
      <c r="P16" t="s">
        <v>236</v>
      </c>
      <c r="Q16" s="9">
        <f>Q14/Q15</f>
        <v>7.9132791327913286E-5</v>
      </c>
      <c r="T16" t="s">
        <v>237</v>
      </c>
      <c r="U16">
        <f>22.4*10^-3</f>
        <v>2.24E-2</v>
      </c>
      <c r="AA16" s="7"/>
    </row>
    <row r="17" spans="6:27" x14ac:dyDescent="0.3">
      <c r="F17" s="10" t="s">
        <v>238</v>
      </c>
      <c r="G17" s="10">
        <v>12.8</v>
      </c>
      <c r="H17" t="s">
        <v>239</v>
      </c>
      <c r="I17">
        <f>G17+273</f>
        <v>285.8</v>
      </c>
      <c r="M17" s="5"/>
      <c r="T17" s="10" t="s">
        <v>238</v>
      </c>
      <c r="U17" s="10">
        <v>12.8</v>
      </c>
      <c r="V17" t="s">
        <v>239</v>
      </c>
      <c r="W17">
        <f>U17+273</f>
        <v>285.8</v>
      </c>
      <c r="AA17" s="7"/>
    </row>
    <row r="18" spans="6:27" x14ac:dyDescent="0.3">
      <c r="F18" t="s">
        <v>240</v>
      </c>
      <c r="G18">
        <v>273</v>
      </c>
      <c r="M18" s="5"/>
      <c r="T18" t="s">
        <v>240</v>
      </c>
      <c r="U18">
        <v>273</v>
      </c>
      <c r="AA18" s="7"/>
    </row>
    <row r="19" spans="6:27" x14ac:dyDescent="0.3">
      <c r="F19" t="s">
        <v>241</v>
      </c>
      <c r="G19">
        <v>3.1399999999999997E-2</v>
      </c>
      <c r="M19" s="5"/>
      <c r="T19" t="s">
        <v>241</v>
      </c>
      <c r="U19">
        <v>3.1399999999999997E-2</v>
      </c>
      <c r="AA19" s="7"/>
    </row>
    <row r="20" spans="6:27" x14ac:dyDescent="0.3">
      <c r="L20" s="14" t="s">
        <v>247</v>
      </c>
      <c r="M20" s="15" t="s">
        <v>248</v>
      </c>
      <c r="Z20" s="14" t="s">
        <v>249</v>
      </c>
      <c r="AA20" s="16" t="s">
        <v>248</v>
      </c>
    </row>
    <row r="21" spans="6:27" x14ac:dyDescent="0.3">
      <c r="F21" t="s">
        <v>242</v>
      </c>
      <c r="G21">
        <f>G18/I17</f>
        <v>0.95521343596920916</v>
      </c>
      <c r="L21">
        <f>I9-I3</f>
        <v>79.349999999999966</v>
      </c>
      <c r="M21" s="7">
        <f>AH9-AH3</f>
        <v>369</v>
      </c>
      <c r="T21" t="s">
        <v>242</v>
      </c>
      <c r="U21">
        <f>U18/W17</f>
        <v>0.95521343596920916</v>
      </c>
      <c r="Z21">
        <f>O9-O3</f>
        <v>2.9200000000000004E-2</v>
      </c>
      <c r="AA21" s="7">
        <f>AH9-AH3</f>
        <v>369</v>
      </c>
    </row>
    <row r="22" spans="6:27" x14ac:dyDescent="0.3">
      <c r="F22" t="s">
        <v>243</v>
      </c>
      <c r="G22">
        <f>1/G19</f>
        <v>31.847133757961785</v>
      </c>
      <c r="M22" s="11">
        <f>M21/60</f>
        <v>6.15</v>
      </c>
      <c r="T22" t="s">
        <v>243</v>
      </c>
      <c r="U22">
        <f>1/U19</f>
        <v>31.847133757961785</v>
      </c>
      <c r="AA22" s="11"/>
    </row>
    <row r="23" spans="6:27" x14ac:dyDescent="0.3">
      <c r="F23" t="s">
        <v>244</v>
      </c>
      <c r="G23">
        <f>G16/G21</f>
        <v>2.3450256410256411E-2</v>
      </c>
      <c r="T23" t="s">
        <v>244</v>
      </c>
      <c r="U23">
        <f>U16/U21</f>
        <v>2.3450256410256411E-2</v>
      </c>
      <c r="AA23" s="7"/>
    </row>
    <row r="24" spans="6:27" x14ac:dyDescent="0.3">
      <c r="L24" s="6">
        <f>(L21/M21)*(G15/G16)/G19</f>
        <v>2.9564420629988817</v>
      </c>
      <c r="Z24" s="6">
        <f>(Z21/AA21)*(U15/U16)/U19</f>
        <v>1.0879408725843404E-3</v>
      </c>
      <c r="AA24" s="7"/>
    </row>
    <row r="25" spans="6:27" x14ac:dyDescent="0.3">
      <c r="F25" s="10">
        <f>(G14)*(G15/G23)*(G22)</f>
        <v>2.8240331812410586</v>
      </c>
      <c r="T25" s="10">
        <f>(U14)*(U15/U23)*(U22)</f>
        <v>1.039215739032627E-3</v>
      </c>
      <c r="AA25" s="7"/>
    </row>
    <row r="27" spans="6:27" x14ac:dyDescent="0.3">
      <c r="Y27" s="12" t="s">
        <v>245</v>
      </c>
      <c r="Z27" s="12">
        <f>Z24*298</f>
        <v>0.32420638003013347</v>
      </c>
      <c r="AA27" s="7"/>
    </row>
    <row r="28" spans="6:27" x14ac:dyDescent="0.3">
      <c r="AA28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F740E-EA96-42F7-ABA5-30FF43D1AE19}">
  <dimension ref="A1:AH27"/>
  <sheetViews>
    <sheetView topLeftCell="I1" workbookViewId="0">
      <selection activeCell="Z27" sqref="Z27"/>
    </sheetView>
  </sheetViews>
  <sheetFormatPr defaultRowHeight="14.4" x14ac:dyDescent="0.3"/>
  <cols>
    <col min="2" max="2" width="9.77734375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</v>
      </c>
      <c r="K1" t="s">
        <v>7</v>
      </c>
      <c r="L1" t="s">
        <v>9</v>
      </c>
      <c r="M1" t="s">
        <v>6</v>
      </c>
      <c r="N1" t="s">
        <v>7</v>
      </c>
      <c r="O1" t="s">
        <v>10</v>
      </c>
      <c r="P1" t="s">
        <v>6</v>
      </c>
      <c r="Q1" t="s">
        <v>7</v>
      </c>
      <c r="R1" t="s">
        <v>11</v>
      </c>
      <c r="S1" t="s">
        <v>6</v>
      </c>
      <c r="T1" t="s">
        <v>7</v>
      </c>
      <c r="U1" t="s">
        <v>12</v>
      </c>
      <c r="V1" t="s">
        <v>6</v>
      </c>
      <c r="W1" t="s">
        <v>7</v>
      </c>
      <c r="X1" t="s">
        <v>13</v>
      </c>
      <c r="Y1" t="s">
        <v>6</v>
      </c>
      <c r="Z1" t="s">
        <v>7</v>
      </c>
      <c r="AA1" t="s">
        <v>14</v>
      </c>
      <c r="AB1" t="s">
        <v>6</v>
      </c>
      <c r="AC1" t="s">
        <v>7</v>
      </c>
      <c r="AD1" t="s">
        <v>15</v>
      </c>
      <c r="AE1" t="s">
        <v>6</v>
      </c>
      <c r="AF1" t="s">
        <v>7</v>
      </c>
      <c r="AG1" t="s">
        <v>16</v>
      </c>
      <c r="AH1" t="s">
        <v>250</v>
      </c>
    </row>
    <row r="2" spans="1:34" x14ac:dyDescent="0.3">
      <c r="A2">
        <v>0</v>
      </c>
      <c r="B2" s="1">
        <v>45777</v>
      </c>
      <c r="C2" s="2">
        <v>0.44335648148148149</v>
      </c>
      <c r="D2" t="s">
        <v>33</v>
      </c>
      <c r="E2" t="s">
        <v>18</v>
      </c>
      <c r="F2">
        <v>1.66</v>
      </c>
      <c r="G2" t="s">
        <v>19</v>
      </c>
      <c r="H2" t="s">
        <v>20</v>
      </c>
      <c r="I2">
        <v>461.92</v>
      </c>
      <c r="J2" t="s">
        <v>21</v>
      </c>
      <c r="K2" t="s">
        <v>20</v>
      </c>
      <c r="L2">
        <v>0</v>
      </c>
      <c r="M2" t="s">
        <v>21</v>
      </c>
      <c r="N2" t="s">
        <v>20</v>
      </c>
      <c r="O2">
        <v>0.3256</v>
      </c>
      <c r="P2" t="s">
        <v>21</v>
      </c>
      <c r="Q2" t="s">
        <v>20</v>
      </c>
      <c r="R2">
        <v>8.2000000000000003E-2</v>
      </c>
      <c r="S2" t="s">
        <v>21</v>
      </c>
      <c r="T2" t="s">
        <v>20</v>
      </c>
      <c r="U2">
        <v>1.9870000000000001</v>
      </c>
      <c r="V2" t="s">
        <v>21</v>
      </c>
      <c r="W2" t="s">
        <v>20</v>
      </c>
      <c r="X2">
        <v>1019.9</v>
      </c>
      <c r="Y2" t="s">
        <v>22</v>
      </c>
      <c r="Z2" t="s">
        <v>23</v>
      </c>
      <c r="AA2">
        <v>31.2</v>
      </c>
      <c r="AB2" t="s">
        <v>24</v>
      </c>
      <c r="AC2" t="s">
        <v>23</v>
      </c>
      <c r="AD2">
        <v>44.23</v>
      </c>
      <c r="AE2" t="s">
        <v>24</v>
      </c>
      <c r="AF2" t="s">
        <v>23</v>
      </c>
      <c r="AG2" t="s">
        <v>25</v>
      </c>
      <c r="AH2" s="5">
        <f>HOUR(C2)*3600 + MINUTE(C2)*60 + SECOND(C2)</f>
        <v>38306</v>
      </c>
    </row>
    <row r="3" spans="1:34" x14ac:dyDescent="0.3">
      <c r="A3">
        <v>0</v>
      </c>
      <c r="B3" s="1">
        <v>45777</v>
      </c>
      <c r="C3" s="2">
        <v>0.44406250000000003</v>
      </c>
      <c r="D3" t="s">
        <v>34</v>
      </c>
      <c r="E3" t="s">
        <v>18</v>
      </c>
      <c r="F3">
        <v>1.7</v>
      </c>
      <c r="G3" t="s">
        <v>19</v>
      </c>
      <c r="H3" t="s">
        <v>20</v>
      </c>
      <c r="I3" s="14">
        <v>468.46</v>
      </c>
      <c r="J3" t="s">
        <v>21</v>
      </c>
      <c r="K3" t="s">
        <v>20</v>
      </c>
      <c r="L3">
        <v>0</v>
      </c>
      <c r="M3" t="s">
        <v>21</v>
      </c>
      <c r="N3" t="s">
        <v>20</v>
      </c>
      <c r="O3">
        <v>0.33610000000000001</v>
      </c>
      <c r="P3" t="s">
        <v>21</v>
      </c>
      <c r="Q3" t="s">
        <v>20</v>
      </c>
      <c r="R3">
        <v>9.2999999999999999E-2</v>
      </c>
      <c r="S3" t="s">
        <v>21</v>
      </c>
      <c r="T3" t="s">
        <v>20</v>
      </c>
      <c r="U3">
        <v>2.0190000000000001</v>
      </c>
      <c r="V3" t="s">
        <v>21</v>
      </c>
      <c r="W3" t="s">
        <v>20</v>
      </c>
      <c r="X3">
        <v>1020.1</v>
      </c>
      <c r="Y3" t="s">
        <v>22</v>
      </c>
      <c r="Z3" t="s">
        <v>23</v>
      </c>
      <c r="AA3">
        <v>32.15</v>
      </c>
      <c r="AB3" t="s">
        <v>24</v>
      </c>
      <c r="AC3" t="s">
        <v>23</v>
      </c>
      <c r="AD3">
        <v>46.15</v>
      </c>
      <c r="AE3" t="s">
        <v>24</v>
      </c>
      <c r="AF3" t="s">
        <v>23</v>
      </c>
      <c r="AG3" t="s">
        <v>25</v>
      </c>
      <c r="AH3" s="5">
        <f t="shared" ref="AH3:AH9" si="0">HOUR(C3)*3600 + MINUTE(C3)*60 + SECOND(C3)</f>
        <v>38367</v>
      </c>
    </row>
    <row r="4" spans="1:34" x14ac:dyDescent="0.3">
      <c r="A4">
        <v>0</v>
      </c>
      <c r="B4" s="1">
        <v>45777</v>
      </c>
      <c r="C4" s="2">
        <v>0.44476851851851851</v>
      </c>
      <c r="D4" t="s">
        <v>35</v>
      </c>
      <c r="E4" t="s">
        <v>18</v>
      </c>
      <c r="F4">
        <v>1.76</v>
      </c>
      <c r="G4" t="s">
        <v>19</v>
      </c>
      <c r="H4" t="s">
        <v>20</v>
      </c>
      <c r="I4" s="14">
        <v>487.28</v>
      </c>
      <c r="J4" t="s">
        <v>21</v>
      </c>
      <c r="K4" t="s">
        <v>20</v>
      </c>
      <c r="L4">
        <v>0</v>
      </c>
      <c r="M4" t="s">
        <v>21</v>
      </c>
      <c r="N4" t="s">
        <v>20</v>
      </c>
      <c r="O4" s="14">
        <v>0.33379999999999999</v>
      </c>
      <c r="P4" t="s">
        <v>21</v>
      </c>
      <c r="Q4" t="s">
        <v>20</v>
      </c>
      <c r="R4">
        <v>0.14299999999999999</v>
      </c>
      <c r="S4" t="s">
        <v>21</v>
      </c>
      <c r="T4" t="s">
        <v>20</v>
      </c>
      <c r="U4">
        <v>2.008</v>
      </c>
      <c r="V4" t="s">
        <v>21</v>
      </c>
      <c r="W4" t="s">
        <v>20</v>
      </c>
      <c r="X4">
        <v>1020.1</v>
      </c>
      <c r="Y4" t="s">
        <v>22</v>
      </c>
      <c r="Z4" t="s">
        <v>23</v>
      </c>
      <c r="AA4">
        <v>32.68</v>
      </c>
      <c r="AB4" t="s">
        <v>24</v>
      </c>
      <c r="AC4" t="s">
        <v>23</v>
      </c>
      <c r="AD4">
        <v>47.45</v>
      </c>
      <c r="AE4" t="s">
        <v>24</v>
      </c>
      <c r="AF4" t="s">
        <v>23</v>
      </c>
      <c r="AG4" t="s">
        <v>25</v>
      </c>
      <c r="AH4" s="5">
        <f t="shared" si="0"/>
        <v>38428</v>
      </c>
    </row>
    <row r="5" spans="1:34" x14ac:dyDescent="0.3">
      <c r="A5">
        <v>0</v>
      </c>
      <c r="B5" s="1">
        <v>45777</v>
      </c>
      <c r="C5" s="2">
        <v>0.44547453703703704</v>
      </c>
      <c r="D5" t="s">
        <v>36</v>
      </c>
      <c r="E5" t="s">
        <v>18</v>
      </c>
      <c r="F5">
        <v>1.81</v>
      </c>
      <c r="G5" t="s">
        <v>19</v>
      </c>
      <c r="H5" t="s">
        <v>20</v>
      </c>
      <c r="I5" s="14">
        <v>504.26</v>
      </c>
      <c r="J5" t="s">
        <v>21</v>
      </c>
      <c r="K5" t="s">
        <v>20</v>
      </c>
      <c r="L5">
        <v>0</v>
      </c>
      <c r="M5" t="s">
        <v>21</v>
      </c>
      <c r="N5" t="s">
        <v>20</v>
      </c>
      <c r="O5" s="14">
        <v>0.34129999999999999</v>
      </c>
      <c r="P5" t="s">
        <v>21</v>
      </c>
      <c r="Q5" t="s">
        <v>20</v>
      </c>
      <c r="R5">
        <v>9.9000000000000005E-2</v>
      </c>
      <c r="S5" t="s">
        <v>21</v>
      </c>
      <c r="T5" t="s">
        <v>20</v>
      </c>
      <c r="U5">
        <v>2.0009999999999999</v>
      </c>
      <c r="V5" t="s">
        <v>21</v>
      </c>
      <c r="W5" t="s">
        <v>20</v>
      </c>
      <c r="X5">
        <v>1020.2</v>
      </c>
      <c r="Y5" t="s">
        <v>22</v>
      </c>
      <c r="Z5" t="s">
        <v>23</v>
      </c>
      <c r="AA5">
        <v>33.130000000000003</v>
      </c>
      <c r="AB5" t="s">
        <v>24</v>
      </c>
      <c r="AC5" t="s">
        <v>23</v>
      </c>
      <c r="AD5">
        <v>48.38</v>
      </c>
      <c r="AE5" t="s">
        <v>24</v>
      </c>
      <c r="AF5" t="s">
        <v>23</v>
      </c>
      <c r="AG5" t="s">
        <v>25</v>
      </c>
      <c r="AH5" s="5">
        <f t="shared" si="0"/>
        <v>38489</v>
      </c>
    </row>
    <row r="6" spans="1:34" x14ac:dyDescent="0.3">
      <c r="A6">
        <v>0</v>
      </c>
      <c r="B6" s="1">
        <v>45777</v>
      </c>
      <c r="C6" s="2">
        <v>0.44618055555555558</v>
      </c>
      <c r="D6" t="s">
        <v>37</v>
      </c>
      <c r="E6" t="s">
        <v>18</v>
      </c>
      <c r="F6">
        <v>1.86</v>
      </c>
      <c r="G6" t="s">
        <v>19</v>
      </c>
      <c r="H6" t="s">
        <v>20</v>
      </c>
      <c r="I6" s="14">
        <v>520.25</v>
      </c>
      <c r="J6" t="s">
        <v>21</v>
      </c>
      <c r="K6" t="s">
        <v>20</v>
      </c>
      <c r="L6">
        <v>0</v>
      </c>
      <c r="M6" t="s">
        <v>21</v>
      </c>
      <c r="N6" t="s">
        <v>20</v>
      </c>
      <c r="O6" s="14">
        <v>0.3458</v>
      </c>
      <c r="P6" t="s">
        <v>21</v>
      </c>
      <c r="Q6" t="s">
        <v>20</v>
      </c>
      <c r="R6">
        <v>0.13500000000000001</v>
      </c>
      <c r="S6" t="s">
        <v>21</v>
      </c>
      <c r="T6" t="s">
        <v>20</v>
      </c>
      <c r="U6">
        <v>2.0019999999999998</v>
      </c>
      <c r="V6" t="s">
        <v>21</v>
      </c>
      <c r="W6" t="s">
        <v>20</v>
      </c>
      <c r="X6">
        <v>1020.3</v>
      </c>
      <c r="Y6" t="s">
        <v>22</v>
      </c>
      <c r="Z6" t="s">
        <v>23</v>
      </c>
      <c r="AA6">
        <v>33.54</v>
      </c>
      <c r="AB6" t="s">
        <v>24</v>
      </c>
      <c r="AC6" t="s">
        <v>23</v>
      </c>
      <c r="AD6">
        <v>49.2</v>
      </c>
      <c r="AE6" t="s">
        <v>24</v>
      </c>
      <c r="AF6" t="s">
        <v>23</v>
      </c>
      <c r="AG6" t="s">
        <v>25</v>
      </c>
      <c r="AH6" s="5">
        <f t="shared" si="0"/>
        <v>38550</v>
      </c>
    </row>
    <row r="7" spans="1:34" x14ac:dyDescent="0.3">
      <c r="A7">
        <v>0</v>
      </c>
      <c r="B7" s="1">
        <v>45777</v>
      </c>
      <c r="C7" s="2">
        <v>0.44688657407407406</v>
      </c>
      <c r="D7" t="s">
        <v>38</v>
      </c>
      <c r="E7" t="s">
        <v>18</v>
      </c>
      <c r="F7">
        <v>1.92</v>
      </c>
      <c r="G7" t="s">
        <v>19</v>
      </c>
      <c r="H7" t="s">
        <v>20</v>
      </c>
      <c r="I7" s="14">
        <v>536.48</v>
      </c>
      <c r="J7" t="s">
        <v>21</v>
      </c>
      <c r="K7" t="s">
        <v>20</v>
      </c>
      <c r="L7">
        <v>0</v>
      </c>
      <c r="M7" t="s">
        <v>21</v>
      </c>
      <c r="N7" t="s">
        <v>20</v>
      </c>
      <c r="O7" s="14">
        <v>0.34799999999999998</v>
      </c>
      <c r="P7" t="s">
        <v>21</v>
      </c>
      <c r="Q7" t="s">
        <v>20</v>
      </c>
      <c r="R7">
        <v>0.187</v>
      </c>
      <c r="S7" t="s">
        <v>21</v>
      </c>
      <c r="T7" t="s">
        <v>20</v>
      </c>
      <c r="U7">
        <v>2.016</v>
      </c>
      <c r="V7" t="s">
        <v>21</v>
      </c>
      <c r="W7" t="s">
        <v>20</v>
      </c>
      <c r="X7">
        <v>1020.3</v>
      </c>
      <c r="Y7" t="s">
        <v>22</v>
      </c>
      <c r="Z7" t="s">
        <v>23</v>
      </c>
      <c r="AA7">
        <v>33.950000000000003</v>
      </c>
      <c r="AB7" t="s">
        <v>24</v>
      </c>
      <c r="AC7" t="s">
        <v>23</v>
      </c>
      <c r="AD7">
        <v>49.94</v>
      </c>
      <c r="AE7" t="s">
        <v>24</v>
      </c>
      <c r="AF7" t="s">
        <v>23</v>
      </c>
      <c r="AG7" t="s">
        <v>25</v>
      </c>
      <c r="AH7" s="5">
        <f t="shared" si="0"/>
        <v>38611</v>
      </c>
    </row>
    <row r="8" spans="1:34" x14ac:dyDescent="0.3">
      <c r="A8">
        <v>0</v>
      </c>
      <c r="B8" s="1">
        <v>45777</v>
      </c>
      <c r="C8" s="2">
        <v>0.4475925925925926</v>
      </c>
      <c r="D8" t="s">
        <v>39</v>
      </c>
      <c r="E8" t="s">
        <v>18</v>
      </c>
      <c r="F8">
        <v>1.98</v>
      </c>
      <c r="G8" t="s">
        <v>19</v>
      </c>
      <c r="H8" t="s">
        <v>20</v>
      </c>
      <c r="I8" s="14">
        <v>550.9</v>
      </c>
      <c r="J8" t="s">
        <v>21</v>
      </c>
      <c r="K8" t="s">
        <v>20</v>
      </c>
      <c r="L8">
        <v>0</v>
      </c>
      <c r="M8" t="s">
        <v>21</v>
      </c>
      <c r="N8" t="s">
        <v>20</v>
      </c>
      <c r="O8" s="14">
        <v>0.3478</v>
      </c>
      <c r="P8" t="s">
        <v>21</v>
      </c>
      <c r="Q8" t="s">
        <v>20</v>
      </c>
      <c r="R8">
        <v>0.124</v>
      </c>
      <c r="S8" t="s">
        <v>21</v>
      </c>
      <c r="T8" t="s">
        <v>20</v>
      </c>
      <c r="U8">
        <v>2.0209999999999999</v>
      </c>
      <c r="V8" t="s">
        <v>21</v>
      </c>
      <c r="W8" t="s">
        <v>20</v>
      </c>
      <c r="X8">
        <v>1020.5</v>
      </c>
      <c r="Y8" t="s">
        <v>22</v>
      </c>
      <c r="Z8" t="s">
        <v>23</v>
      </c>
      <c r="AA8">
        <v>34.299999999999997</v>
      </c>
      <c r="AB8" t="s">
        <v>24</v>
      </c>
      <c r="AC8" t="s">
        <v>23</v>
      </c>
      <c r="AD8">
        <v>50.57</v>
      </c>
      <c r="AE8" t="s">
        <v>24</v>
      </c>
      <c r="AF8" t="s">
        <v>23</v>
      </c>
      <c r="AG8" t="s">
        <v>25</v>
      </c>
      <c r="AH8" s="5">
        <f t="shared" si="0"/>
        <v>38672</v>
      </c>
    </row>
    <row r="9" spans="1:34" x14ac:dyDescent="0.3">
      <c r="A9">
        <v>0</v>
      </c>
      <c r="B9" s="1">
        <v>45777</v>
      </c>
      <c r="C9" s="2">
        <v>0.44829861111111113</v>
      </c>
      <c r="D9" t="s">
        <v>40</v>
      </c>
      <c r="E9" t="s">
        <v>18</v>
      </c>
      <c r="F9">
        <v>2.0299999999999998</v>
      </c>
      <c r="G9" t="s">
        <v>19</v>
      </c>
      <c r="H9" t="s">
        <v>20</v>
      </c>
      <c r="I9" s="14">
        <v>566.54</v>
      </c>
      <c r="J9" t="s">
        <v>21</v>
      </c>
      <c r="K9" t="s">
        <v>20</v>
      </c>
      <c r="L9">
        <v>0</v>
      </c>
      <c r="M9" t="s">
        <v>21</v>
      </c>
      <c r="N9" t="s">
        <v>20</v>
      </c>
      <c r="O9" s="14">
        <v>0.35349999999999998</v>
      </c>
      <c r="P9" t="s">
        <v>21</v>
      </c>
      <c r="Q9" t="s">
        <v>20</v>
      </c>
      <c r="R9">
        <v>0.14599999999999999</v>
      </c>
      <c r="S9" t="s">
        <v>21</v>
      </c>
      <c r="T9" t="s">
        <v>20</v>
      </c>
      <c r="U9">
        <v>2.016</v>
      </c>
      <c r="V9" t="s">
        <v>21</v>
      </c>
      <c r="W9" t="s">
        <v>20</v>
      </c>
      <c r="X9">
        <v>1020.4</v>
      </c>
      <c r="Y9" t="s">
        <v>22</v>
      </c>
      <c r="Z9" t="s">
        <v>23</v>
      </c>
      <c r="AA9">
        <v>34.57</v>
      </c>
      <c r="AB9" t="s">
        <v>24</v>
      </c>
      <c r="AC9" t="s">
        <v>23</v>
      </c>
      <c r="AD9">
        <v>51.1</v>
      </c>
      <c r="AE9" t="s">
        <v>24</v>
      </c>
      <c r="AF9" t="s">
        <v>23</v>
      </c>
      <c r="AG9" t="s">
        <v>25</v>
      </c>
      <c r="AH9" s="5">
        <f t="shared" si="0"/>
        <v>38733</v>
      </c>
    </row>
    <row r="13" spans="1:34" ht="23.4" x14ac:dyDescent="0.45">
      <c r="A13" s="3" t="s">
        <v>231</v>
      </c>
      <c r="O13" s="4" t="s">
        <v>232</v>
      </c>
    </row>
    <row r="14" spans="1:34" x14ac:dyDescent="0.3">
      <c r="B14" t="s">
        <v>233</v>
      </c>
      <c r="C14">
        <f>L21</f>
        <v>98.079999999999984</v>
      </c>
      <c r="F14" t="s">
        <v>234</v>
      </c>
      <c r="G14" s="5">
        <f>C16</f>
        <v>0.26797814207650267</v>
      </c>
      <c r="M14" s="5"/>
      <c r="P14" t="s">
        <v>233</v>
      </c>
      <c r="Q14">
        <f>Z21</f>
        <v>1.9699999999999995E-2</v>
      </c>
      <c r="T14" t="s">
        <v>234</v>
      </c>
      <c r="U14" s="5">
        <f>Q16</f>
        <v>6.4590163934426218E-5</v>
      </c>
      <c r="AA14" s="7"/>
    </row>
    <row r="15" spans="1:34" x14ac:dyDescent="0.3">
      <c r="B15" t="s">
        <v>2</v>
      </c>
      <c r="C15" s="5">
        <f>M21</f>
        <v>366</v>
      </c>
      <c r="F15" t="s">
        <v>235</v>
      </c>
      <c r="G15" s="8">
        <v>9.6699999999999998E-3</v>
      </c>
      <c r="M15" s="5"/>
      <c r="P15" t="s">
        <v>2</v>
      </c>
      <c r="Q15" s="5">
        <f>AA21</f>
        <v>305</v>
      </c>
      <c r="T15" t="s">
        <v>235</v>
      </c>
      <c r="U15" s="8">
        <v>9.6699999999999998E-3</v>
      </c>
      <c r="AA15" s="7"/>
    </row>
    <row r="16" spans="1:34" x14ac:dyDescent="0.3">
      <c r="B16" t="s">
        <v>236</v>
      </c>
      <c r="C16" s="5">
        <f>C14/C15</f>
        <v>0.26797814207650267</v>
      </c>
      <c r="F16" t="s">
        <v>237</v>
      </c>
      <c r="G16">
        <f>22.4*10^-3</f>
        <v>2.24E-2</v>
      </c>
      <c r="M16" s="5"/>
      <c r="P16" t="s">
        <v>236</v>
      </c>
      <c r="Q16" s="9">
        <f>Q14/Q15</f>
        <v>6.4590163934426218E-5</v>
      </c>
      <c r="T16" t="s">
        <v>237</v>
      </c>
      <c r="U16">
        <f>22.4*10^-3</f>
        <v>2.24E-2</v>
      </c>
      <c r="AA16" s="7"/>
    </row>
    <row r="17" spans="6:27" x14ac:dyDescent="0.3">
      <c r="F17" s="10" t="s">
        <v>238</v>
      </c>
      <c r="G17" s="10">
        <v>12.8</v>
      </c>
      <c r="H17" t="s">
        <v>239</v>
      </c>
      <c r="I17">
        <f>G17+273</f>
        <v>285.8</v>
      </c>
      <c r="M17" s="5"/>
      <c r="T17" s="10" t="s">
        <v>238</v>
      </c>
      <c r="U17" s="10">
        <v>12.8</v>
      </c>
      <c r="V17" t="s">
        <v>239</v>
      </c>
      <c r="W17">
        <f>U17+273</f>
        <v>285.8</v>
      </c>
      <c r="AA17" s="7"/>
    </row>
    <row r="18" spans="6:27" x14ac:dyDescent="0.3">
      <c r="F18" t="s">
        <v>240</v>
      </c>
      <c r="G18">
        <v>273</v>
      </c>
      <c r="M18" s="5"/>
      <c r="T18" t="s">
        <v>240</v>
      </c>
      <c r="U18">
        <v>273</v>
      </c>
      <c r="AA18" s="7"/>
    </row>
    <row r="19" spans="6:27" x14ac:dyDescent="0.3">
      <c r="F19" t="s">
        <v>241</v>
      </c>
      <c r="G19">
        <v>3.1399999999999997E-2</v>
      </c>
      <c r="M19" s="5"/>
      <c r="T19" t="s">
        <v>241</v>
      </c>
      <c r="U19">
        <v>3.1399999999999997E-2</v>
      </c>
      <c r="AA19" s="7"/>
    </row>
    <row r="20" spans="6:27" x14ac:dyDescent="0.3">
      <c r="L20" s="14" t="s">
        <v>247</v>
      </c>
      <c r="M20" s="15" t="s">
        <v>248</v>
      </c>
      <c r="Z20" s="14" t="s">
        <v>249</v>
      </c>
      <c r="AA20" s="16" t="s">
        <v>248</v>
      </c>
    </row>
    <row r="21" spans="6:27" x14ac:dyDescent="0.3">
      <c r="F21" t="s">
        <v>242</v>
      </c>
      <c r="G21">
        <f>G18/I17</f>
        <v>0.95521343596920916</v>
      </c>
      <c r="L21">
        <f>I9-I3</f>
        <v>98.079999999999984</v>
      </c>
      <c r="M21" s="7">
        <f>AH9-AH3</f>
        <v>366</v>
      </c>
      <c r="T21" t="s">
        <v>242</v>
      </c>
      <c r="U21">
        <f>U18/W17</f>
        <v>0.95521343596920916</v>
      </c>
      <c r="Z21">
        <f>O9-O4</f>
        <v>1.9699999999999995E-2</v>
      </c>
      <c r="AA21" s="7">
        <f>AH9-AH4</f>
        <v>305</v>
      </c>
    </row>
    <row r="22" spans="6:27" x14ac:dyDescent="0.3">
      <c r="F22" t="s">
        <v>243</v>
      </c>
      <c r="G22">
        <f>1/G19</f>
        <v>31.847133757961785</v>
      </c>
      <c r="M22" s="11">
        <f>M21/60</f>
        <v>6.1</v>
      </c>
      <c r="T22" t="s">
        <v>243</v>
      </c>
      <c r="U22">
        <f>1/U19</f>
        <v>31.847133757961785</v>
      </c>
      <c r="AA22" s="11"/>
    </row>
    <row r="23" spans="6:27" x14ac:dyDescent="0.3">
      <c r="F23" t="s">
        <v>244</v>
      </c>
      <c r="G23">
        <f>G16/G21</f>
        <v>2.3450256410256411E-2</v>
      </c>
      <c r="T23" t="s">
        <v>244</v>
      </c>
      <c r="U23">
        <f>U16/U21</f>
        <v>2.3450256410256411E-2</v>
      </c>
      <c r="AA23" s="7"/>
    </row>
    <row r="24" spans="6:27" x14ac:dyDescent="0.3">
      <c r="L24" s="6">
        <f>(L21/M21)*(G15/G16)/G19</f>
        <v>3.684242256994684</v>
      </c>
      <c r="Z24" s="6">
        <f>(Z21/AA21)*(U15/U16)/U19</f>
        <v>8.8800455704888192E-4</v>
      </c>
      <c r="AA24" s="7"/>
    </row>
    <row r="25" spans="6:27" x14ac:dyDescent="0.3">
      <c r="F25" s="10">
        <f>(G14)*(G15/G23)*(G22)</f>
        <v>3.5192377052468462</v>
      </c>
      <c r="T25" s="10">
        <f>(U14)*(U15/U23)*(U22)</f>
        <v>8.482338840949781E-4</v>
      </c>
      <c r="AA25" s="7"/>
    </row>
    <row r="27" spans="6:27" x14ac:dyDescent="0.3">
      <c r="Y27" s="12" t="s">
        <v>245</v>
      </c>
      <c r="Z27" s="12">
        <f>Z24*298</f>
        <v>0.2646253580005668</v>
      </c>
      <c r="AA27" s="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65537-65E2-43A7-B50A-7C2D9A1B84F3}">
  <dimension ref="A1:AH26"/>
  <sheetViews>
    <sheetView topLeftCell="F16" workbookViewId="0">
      <selection activeCell="Z26" sqref="Z26"/>
    </sheetView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</v>
      </c>
      <c r="K1" t="s">
        <v>7</v>
      </c>
      <c r="L1" t="s">
        <v>9</v>
      </c>
      <c r="M1" t="s">
        <v>6</v>
      </c>
      <c r="N1" t="s">
        <v>7</v>
      </c>
      <c r="O1" t="s">
        <v>10</v>
      </c>
      <c r="P1" t="s">
        <v>6</v>
      </c>
      <c r="Q1" t="s">
        <v>7</v>
      </c>
      <c r="R1" t="s">
        <v>11</v>
      </c>
      <c r="S1" t="s">
        <v>6</v>
      </c>
      <c r="T1" t="s">
        <v>7</v>
      </c>
      <c r="U1" t="s">
        <v>12</v>
      </c>
      <c r="V1" t="s">
        <v>6</v>
      </c>
      <c r="W1" t="s">
        <v>7</v>
      </c>
      <c r="X1" t="s">
        <v>13</v>
      </c>
      <c r="Y1" t="s">
        <v>6</v>
      </c>
      <c r="Z1" t="s">
        <v>7</v>
      </c>
      <c r="AA1" t="s">
        <v>14</v>
      </c>
      <c r="AB1" t="s">
        <v>6</v>
      </c>
      <c r="AC1" t="s">
        <v>7</v>
      </c>
      <c r="AD1" t="s">
        <v>15</v>
      </c>
      <c r="AE1" t="s">
        <v>6</v>
      </c>
      <c r="AF1" t="s">
        <v>7</v>
      </c>
      <c r="AG1" t="s">
        <v>16</v>
      </c>
      <c r="AH1" t="s">
        <v>246</v>
      </c>
    </row>
    <row r="2" spans="1:34" x14ac:dyDescent="0.3">
      <c r="A2">
        <v>0</v>
      </c>
      <c r="B2" s="1">
        <v>45777</v>
      </c>
      <c r="C2" s="2">
        <v>0.45019675925925928</v>
      </c>
      <c r="D2" t="s">
        <v>41</v>
      </c>
      <c r="E2" t="s">
        <v>18</v>
      </c>
      <c r="F2">
        <v>1.76</v>
      </c>
      <c r="G2" t="s">
        <v>19</v>
      </c>
      <c r="H2" t="s">
        <v>20</v>
      </c>
      <c r="I2">
        <v>475.07</v>
      </c>
      <c r="J2" t="s">
        <v>21</v>
      </c>
      <c r="K2" t="s">
        <v>20</v>
      </c>
      <c r="L2">
        <v>0</v>
      </c>
      <c r="M2" t="s">
        <v>21</v>
      </c>
      <c r="N2" t="s">
        <v>20</v>
      </c>
      <c r="O2">
        <v>0.34770000000000001</v>
      </c>
      <c r="P2" t="s">
        <v>21</v>
      </c>
      <c r="Q2" t="s">
        <v>20</v>
      </c>
      <c r="R2">
        <v>7.9000000000000001E-2</v>
      </c>
      <c r="S2" t="s">
        <v>21</v>
      </c>
      <c r="T2" t="s">
        <v>20</v>
      </c>
      <c r="U2">
        <v>2.0569999999999999</v>
      </c>
      <c r="V2" t="s">
        <v>21</v>
      </c>
      <c r="W2" t="s">
        <v>20</v>
      </c>
      <c r="X2">
        <v>1020.5</v>
      </c>
      <c r="Y2" t="s">
        <v>22</v>
      </c>
      <c r="Z2" t="s">
        <v>23</v>
      </c>
      <c r="AA2">
        <v>35.53</v>
      </c>
      <c r="AB2" t="s">
        <v>24</v>
      </c>
      <c r="AC2" t="s">
        <v>23</v>
      </c>
      <c r="AD2">
        <v>52.32</v>
      </c>
      <c r="AE2" t="s">
        <v>24</v>
      </c>
      <c r="AF2" t="s">
        <v>23</v>
      </c>
      <c r="AG2" t="s">
        <v>25</v>
      </c>
      <c r="AH2" s="5">
        <f>HOUR(C2)*3600 + MINUTE(C2)*60 + SECOND(C2)</f>
        <v>38897</v>
      </c>
    </row>
    <row r="3" spans="1:34" x14ac:dyDescent="0.3">
      <c r="A3">
        <v>0</v>
      </c>
      <c r="B3" s="1">
        <v>45777</v>
      </c>
      <c r="C3" s="2">
        <v>0.45090277777777776</v>
      </c>
      <c r="D3" t="s">
        <v>42</v>
      </c>
      <c r="E3" t="s">
        <v>18</v>
      </c>
      <c r="F3">
        <v>1.76</v>
      </c>
      <c r="G3" t="s">
        <v>19</v>
      </c>
      <c r="H3" t="s">
        <v>20</v>
      </c>
      <c r="I3" s="14">
        <v>460.84</v>
      </c>
      <c r="J3" t="s">
        <v>21</v>
      </c>
      <c r="K3" t="s">
        <v>20</v>
      </c>
      <c r="L3">
        <v>0</v>
      </c>
      <c r="M3" t="s">
        <v>21</v>
      </c>
      <c r="N3" t="s">
        <v>20</v>
      </c>
      <c r="O3" s="14">
        <v>0.34899999999999998</v>
      </c>
      <c r="P3" t="s">
        <v>21</v>
      </c>
      <c r="Q3" t="s">
        <v>20</v>
      </c>
      <c r="R3">
        <v>7.4999999999999997E-2</v>
      </c>
      <c r="S3" t="s">
        <v>21</v>
      </c>
      <c r="T3" t="s">
        <v>20</v>
      </c>
      <c r="U3">
        <v>2.0659999999999998</v>
      </c>
      <c r="V3" t="s">
        <v>21</v>
      </c>
      <c r="W3" t="s">
        <v>20</v>
      </c>
      <c r="X3">
        <v>1020.6</v>
      </c>
      <c r="Y3" t="s">
        <v>22</v>
      </c>
      <c r="Z3" t="s">
        <v>23</v>
      </c>
      <c r="AA3">
        <v>35.89</v>
      </c>
      <c r="AB3" t="s">
        <v>24</v>
      </c>
      <c r="AC3" t="s">
        <v>23</v>
      </c>
      <c r="AD3">
        <v>52.77</v>
      </c>
      <c r="AE3" t="s">
        <v>24</v>
      </c>
      <c r="AF3" t="s">
        <v>23</v>
      </c>
      <c r="AG3" t="s">
        <v>25</v>
      </c>
      <c r="AH3" s="5">
        <f t="shared" ref="AH3:AH9" si="0">HOUR(C3)*3600 + MINUTE(C3)*60 + SECOND(C3)</f>
        <v>38958</v>
      </c>
    </row>
    <row r="4" spans="1:34" x14ac:dyDescent="0.3">
      <c r="A4">
        <v>0</v>
      </c>
      <c r="B4" s="1">
        <v>45777</v>
      </c>
      <c r="C4" s="2">
        <v>0.4516087962962963</v>
      </c>
      <c r="D4" t="s">
        <v>43</v>
      </c>
      <c r="E4" t="s">
        <v>18</v>
      </c>
      <c r="F4">
        <v>1.83</v>
      </c>
      <c r="G4" t="s">
        <v>19</v>
      </c>
      <c r="H4" t="s">
        <v>20</v>
      </c>
      <c r="I4" s="14">
        <v>474.95</v>
      </c>
      <c r="J4" t="s">
        <v>21</v>
      </c>
      <c r="K4" t="s">
        <v>20</v>
      </c>
      <c r="L4">
        <v>0</v>
      </c>
      <c r="M4" t="s">
        <v>21</v>
      </c>
      <c r="N4" t="s">
        <v>20</v>
      </c>
      <c r="O4" s="14">
        <v>0.36080000000000001</v>
      </c>
      <c r="P4" t="s">
        <v>21</v>
      </c>
      <c r="Q4" t="s">
        <v>20</v>
      </c>
      <c r="R4">
        <v>8.3000000000000004E-2</v>
      </c>
      <c r="S4" t="s">
        <v>21</v>
      </c>
      <c r="T4" t="s">
        <v>20</v>
      </c>
      <c r="U4">
        <v>2.0579999999999998</v>
      </c>
      <c r="V4" t="s">
        <v>21</v>
      </c>
      <c r="W4" t="s">
        <v>20</v>
      </c>
      <c r="X4">
        <v>1020.6</v>
      </c>
      <c r="Y4" t="s">
        <v>22</v>
      </c>
      <c r="Z4" t="s">
        <v>23</v>
      </c>
      <c r="AA4">
        <v>36.17</v>
      </c>
      <c r="AB4" t="s">
        <v>24</v>
      </c>
      <c r="AC4" t="s">
        <v>23</v>
      </c>
      <c r="AD4">
        <v>53.11</v>
      </c>
      <c r="AE4" t="s">
        <v>24</v>
      </c>
      <c r="AF4" t="s">
        <v>23</v>
      </c>
      <c r="AG4" t="s">
        <v>25</v>
      </c>
      <c r="AH4" s="5">
        <f t="shared" si="0"/>
        <v>39019</v>
      </c>
    </row>
    <row r="5" spans="1:34" x14ac:dyDescent="0.3">
      <c r="A5">
        <v>0</v>
      </c>
      <c r="B5" s="1">
        <v>45777</v>
      </c>
      <c r="C5" s="2">
        <v>0.45231481481481484</v>
      </c>
      <c r="D5" t="s">
        <v>44</v>
      </c>
      <c r="E5" t="s">
        <v>18</v>
      </c>
      <c r="F5">
        <v>1.89</v>
      </c>
      <c r="G5" t="s">
        <v>19</v>
      </c>
      <c r="H5" t="s">
        <v>20</v>
      </c>
      <c r="I5" s="14">
        <v>488.6</v>
      </c>
      <c r="J5" t="s">
        <v>21</v>
      </c>
      <c r="K5" t="s">
        <v>20</v>
      </c>
      <c r="L5">
        <v>0</v>
      </c>
      <c r="M5" t="s">
        <v>21</v>
      </c>
      <c r="N5" t="s">
        <v>20</v>
      </c>
      <c r="O5" s="14">
        <v>0.36609999999999998</v>
      </c>
      <c r="P5" t="s">
        <v>21</v>
      </c>
      <c r="Q5" t="s">
        <v>20</v>
      </c>
      <c r="R5">
        <v>7.8E-2</v>
      </c>
      <c r="S5" t="s">
        <v>21</v>
      </c>
      <c r="T5" t="s">
        <v>20</v>
      </c>
      <c r="U5">
        <v>2.0409999999999999</v>
      </c>
      <c r="V5" t="s">
        <v>21</v>
      </c>
      <c r="W5" t="s">
        <v>20</v>
      </c>
      <c r="X5">
        <v>1020.7</v>
      </c>
      <c r="Y5" t="s">
        <v>22</v>
      </c>
      <c r="Z5" t="s">
        <v>23</v>
      </c>
      <c r="AA5">
        <v>36.619999999999997</v>
      </c>
      <c r="AB5" t="s">
        <v>24</v>
      </c>
      <c r="AC5" t="s">
        <v>23</v>
      </c>
      <c r="AD5">
        <v>53.42</v>
      </c>
      <c r="AE5" t="s">
        <v>24</v>
      </c>
      <c r="AF5" t="s">
        <v>23</v>
      </c>
      <c r="AG5" t="s">
        <v>25</v>
      </c>
      <c r="AH5" s="5">
        <f t="shared" si="0"/>
        <v>39080</v>
      </c>
    </row>
    <row r="6" spans="1:34" x14ac:dyDescent="0.3">
      <c r="A6">
        <v>0</v>
      </c>
      <c r="B6" s="1">
        <v>45777</v>
      </c>
      <c r="C6" s="2">
        <v>0.45302083333333332</v>
      </c>
      <c r="D6" t="s">
        <v>45</v>
      </c>
      <c r="E6" t="s">
        <v>18</v>
      </c>
      <c r="F6">
        <v>1.95</v>
      </c>
      <c r="G6" t="s">
        <v>19</v>
      </c>
      <c r="H6" t="s">
        <v>20</v>
      </c>
      <c r="I6" s="14">
        <v>502.09</v>
      </c>
      <c r="J6" t="s">
        <v>21</v>
      </c>
      <c r="K6" t="s">
        <v>20</v>
      </c>
      <c r="L6">
        <v>0</v>
      </c>
      <c r="M6" t="s">
        <v>21</v>
      </c>
      <c r="N6" t="s">
        <v>20</v>
      </c>
      <c r="O6" s="14">
        <v>0.3674</v>
      </c>
      <c r="P6" t="s">
        <v>21</v>
      </c>
      <c r="Q6" t="s">
        <v>20</v>
      </c>
      <c r="R6">
        <v>0.11700000000000001</v>
      </c>
      <c r="S6" t="s">
        <v>21</v>
      </c>
      <c r="T6" t="s">
        <v>20</v>
      </c>
      <c r="U6">
        <v>2.0369999999999999</v>
      </c>
      <c r="V6" t="s">
        <v>21</v>
      </c>
      <c r="W6" t="s">
        <v>20</v>
      </c>
      <c r="X6">
        <v>1020.6</v>
      </c>
      <c r="Y6" t="s">
        <v>22</v>
      </c>
      <c r="Z6" t="s">
        <v>23</v>
      </c>
      <c r="AA6">
        <v>36.85</v>
      </c>
      <c r="AB6" t="s">
        <v>24</v>
      </c>
      <c r="AC6" t="s">
        <v>23</v>
      </c>
      <c r="AD6">
        <v>53.81</v>
      </c>
      <c r="AE6" t="s">
        <v>24</v>
      </c>
      <c r="AF6" t="s">
        <v>23</v>
      </c>
      <c r="AG6" t="s">
        <v>25</v>
      </c>
      <c r="AH6" s="5">
        <f t="shared" si="0"/>
        <v>39141</v>
      </c>
    </row>
    <row r="7" spans="1:34" x14ac:dyDescent="0.3">
      <c r="A7">
        <v>0</v>
      </c>
      <c r="B7" s="1">
        <v>45777</v>
      </c>
      <c r="C7" s="2">
        <v>0.45372685185185185</v>
      </c>
      <c r="D7" t="s">
        <v>46</v>
      </c>
      <c r="E7" t="s">
        <v>18</v>
      </c>
      <c r="F7">
        <v>2</v>
      </c>
      <c r="G7" t="s">
        <v>19</v>
      </c>
      <c r="H7" t="s">
        <v>20</v>
      </c>
      <c r="I7" s="14">
        <v>514.64</v>
      </c>
      <c r="J7" t="s">
        <v>21</v>
      </c>
      <c r="K7" t="s">
        <v>20</v>
      </c>
      <c r="L7">
        <v>0</v>
      </c>
      <c r="M7" t="s">
        <v>21</v>
      </c>
      <c r="N7" t="s">
        <v>20</v>
      </c>
      <c r="O7" s="14">
        <v>0.37309999999999999</v>
      </c>
      <c r="P7" t="s">
        <v>21</v>
      </c>
      <c r="Q7" t="s">
        <v>20</v>
      </c>
      <c r="R7">
        <v>8.6999999999999994E-2</v>
      </c>
      <c r="S7" t="s">
        <v>21</v>
      </c>
      <c r="T7" t="s">
        <v>20</v>
      </c>
      <c r="U7">
        <v>2.0430000000000001</v>
      </c>
      <c r="V7" t="s">
        <v>21</v>
      </c>
      <c r="W7" t="s">
        <v>20</v>
      </c>
      <c r="X7">
        <v>1020.8</v>
      </c>
      <c r="Y7" t="s">
        <v>22</v>
      </c>
      <c r="Z7" t="s">
        <v>23</v>
      </c>
      <c r="AA7">
        <v>37.21</v>
      </c>
      <c r="AB7" t="s">
        <v>24</v>
      </c>
      <c r="AC7" t="s">
        <v>23</v>
      </c>
      <c r="AD7">
        <v>54.09</v>
      </c>
      <c r="AE7" t="s">
        <v>24</v>
      </c>
      <c r="AF7" t="s">
        <v>23</v>
      </c>
      <c r="AG7" t="s">
        <v>25</v>
      </c>
      <c r="AH7" s="5">
        <f t="shared" si="0"/>
        <v>39202</v>
      </c>
    </row>
    <row r="8" spans="1:34" x14ac:dyDescent="0.3">
      <c r="A8">
        <v>0</v>
      </c>
      <c r="B8" s="1">
        <v>45777</v>
      </c>
      <c r="C8" s="2">
        <v>0.45443287037037039</v>
      </c>
      <c r="D8" t="s">
        <v>47</v>
      </c>
      <c r="E8" t="s">
        <v>18</v>
      </c>
      <c r="F8">
        <v>2.0499999999999998</v>
      </c>
      <c r="G8" t="s">
        <v>19</v>
      </c>
      <c r="H8" t="s">
        <v>20</v>
      </c>
      <c r="I8" s="14">
        <v>527.6</v>
      </c>
      <c r="J8" t="s">
        <v>21</v>
      </c>
      <c r="K8" t="s">
        <v>20</v>
      </c>
      <c r="L8">
        <v>0</v>
      </c>
      <c r="M8" t="s">
        <v>21</v>
      </c>
      <c r="N8" t="s">
        <v>20</v>
      </c>
      <c r="O8" s="14">
        <v>0.37809999999999999</v>
      </c>
      <c r="P8" t="s">
        <v>21</v>
      </c>
      <c r="Q8" t="s">
        <v>20</v>
      </c>
      <c r="R8">
        <v>0.14599999999999999</v>
      </c>
      <c r="S8" t="s">
        <v>21</v>
      </c>
      <c r="T8" t="s">
        <v>20</v>
      </c>
      <c r="U8">
        <v>2.044</v>
      </c>
      <c r="V8" t="s">
        <v>21</v>
      </c>
      <c r="W8" t="s">
        <v>20</v>
      </c>
      <c r="X8">
        <v>1020.9</v>
      </c>
      <c r="Y8" t="s">
        <v>22</v>
      </c>
      <c r="Z8" t="s">
        <v>23</v>
      </c>
      <c r="AA8">
        <v>37.53</v>
      </c>
      <c r="AB8" t="s">
        <v>24</v>
      </c>
      <c r="AC8" t="s">
        <v>23</v>
      </c>
      <c r="AD8">
        <v>54.44</v>
      </c>
      <c r="AE8" t="s">
        <v>24</v>
      </c>
      <c r="AF8" t="s">
        <v>23</v>
      </c>
      <c r="AG8" t="s">
        <v>25</v>
      </c>
      <c r="AH8" s="5">
        <f t="shared" si="0"/>
        <v>39263</v>
      </c>
    </row>
    <row r="9" spans="1:34" x14ac:dyDescent="0.3">
      <c r="A9">
        <v>0</v>
      </c>
      <c r="B9" s="1">
        <v>45777</v>
      </c>
      <c r="C9" s="2">
        <v>0.45513888888888887</v>
      </c>
      <c r="D9" t="s">
        <v>48</v>
      </c>
      <c r="E9" t="s">
        <v>18</v>
      </c>
      <c r="F9">
        <v>2.1</v>
      </c>
      <c r="G9" t="s">
        <v>19</v>
      </c>
      <c r="H9" t="s">
        <v>20</v>
      </c>
      <c r="I9" s="14">
        <v>541.02</v>
      </c>
      <c r="J9" t="s">
        <v>21</v>
      </c>
      <c r="K9" t="s">
        <v>20</v>
      </c>
      <c r="L9">
        <v>0</v>
      </c>
      <c r="M9" t="s">
        <v>21</v>
      </c>
      <c r="N9" t="s">
        <v>20</v>
      </c>
      <c r="O9" s="14">
        <v>0.38240000000000002</v>
      </c>
      <c r="P9" t="s">
        <v>21</v>
      </c>
      <c r="Q9" t="s">
        <v>20</v>
      </c>
      <c r="R9">
        <v>0.154</v>
      </c>
      <c r="S9" t="s">
        <v>21</v>
      </c>
      <c r="T9" t="s">
        <v>20</v>
      </c>
      <c r="U9">
        <v>2.0289999999999999</v>
      </c>
      <c r="V9" t="s">
        <v>21</v>
      </c>
      <c r="W9" t="s">
        <v>20</v>
      </c>
      <c r="X9">
        <v>1020.7</v>
      </c>
      <c r="Y9" t="s">
        <v>22</v>
      </c>
      <c r="Z9" t="s">
        <v>23</v>
      </c>
      <c r="AA9">
        <v>37.869999999999997</v>
      </c>
      <c r="AB9" t="s">
        <v>24</v>
      </c>
      <c r="AC9" t="s">
        <v>23</v>
      </c>
      <c r="AD9">
        <v>54.78</v>
      </c>
      <c r="AE9" t="s">
        <v>24</v>
      </c>
      <c r="AF9" t="s">
        <v>23</v>
      </c>
      <c r="AG9" t="s">
        <v>25</v>
      </c>
      <c r="AH9" s="5">
        <f t="shared" si="0"/>
        <v>39324</v>
      </c>
    </row>
    <row r="12" spans="1:34" ht="23.4" x14ac:dyDescent="0.45">
      <c r="A12" s="3" t="s">
        <v>231</v>
      </c>
      <c r="O12" s="4" t="s">
        <v>232</v>
      </c>
    </row>
    <row r="13" spans="1:34" x14ac:dyDescent="0.3">
      <c r="B13" t="s">
        <v>233</v>
      </c>
      <c r="C13">
        <f>L20</f>
        <v>80.180000000000007</v>
      </c>
      <c r="F13" t="s">
        <v>234</v>
      </c>
      <c r="G13" s="5">
        <f>C15</f>
        <v>0.21907103825136615</v>
      </c>
      <c r="M13" s="5"/>
      <c r="P13" t="s">
        <v>233</v>
      </c>
      <c r="Q13">
        <f>Z20</f>
        <v>3.3400000000000041E-2</v>
      </c>
      <c r="T13" t="s">
        <v>234</v>
      </c>
      <c r="U13" s="5">
        <f>Q15</f>
        <v>1.0950819672131161E-4</v>
      </c>
      <c r="AA13" s="7"/>
    </row>
    <row r="14" spans="1:34" x14ac:dyDescent="0.3">
      <c r="B14" t="s">
        <v>2</v>
      </c>
      <c r="C14" s="5">
        <f>M20</f>
        <v>366</v>
      </c>
      <c r="F14" t="s">
        <v>235</v>
      </c>
      <c r="G14" s="8">
        <v>9.6699999999999998E-3</v>
      </c>
      <c r="M14" s="5"/>
      <c r="P14" t="s">
        <v>2</v>
      </c>
      <c r="Q14" s="5">
        <f>AA20</f>
        <v>305</v>
      </c>
      <c r="T14" t="s">
        <v>235</v>
      </c>
      <c r="U14" s="8">
        <v>9.6699999999999998E-3</v>
      </c>
      <c r="AA14" s="7"/>
    </row>
    <row r="15" spans="1:34" x14ac:dyDescent="0.3">
      <c r="B15" t="s">
        <v>236</v>
      </c>
      <c r="C15" s="5">
        <f>C13/C14</f>
        <v>0.21907103825136615</v>
      </c>
      <c r="F15" t="s">
        <v>237</v>
      </c>
      <c r="G15">
        <f>22.4*10^-3</f>
        <v>2.24E-2</v>
      </c>
      <c r="M15" s="5"/>
      <c r="P15" t="s">
        <v>236</v>
      </c>
      <c r="Q15" s="9">
        <f>Q13/Q14</f>
        <v>1.0950819672131161E-4</v>
      </c>
      <c r="T15" t="s">
        <v>237</v>
      </c>
      <c r="U15">
        <f>22.4*10^-3</f>
        <v>2.24E-2</v>
      </c>
      <c r="AA15" s="7"/>
    </row>
    <row r="16" spans="1:34" x14ac:dyDescent="0.3">
      <c r="F16" s="10" t="s">
        <v>238</v>
      </c>
      <c r="G16" s="10">
        <v>12.8</v>
      </c>
      <c r="H16" t="s">
        <v>239</v>
      </c>
      <c r="I16">
        <f>G16+273</f>
        <v>285.8</v>
      </c>
      <c r="M16" s="5"/>
      <c r="T16" s="10" t="s">
        <v>238</v>
      </c>
      <c r="U16" s="10">
        <v>12.8</v>
      </c>
      <c r="V16" t="s">
        <v>239</v>
      </c>
      <c r="W16">
        <f>U16+273</f>
        <v>285.8</v>
      </c>
      <c r="AA16" s="7"/>
    </row>
    <row r="17" spans="6:27" x14ac:dyDescent="0.3">
      <c r="F17" t="s">
        <v>240</v>
      </c>
      <c r="G17">
        <v>273</v>
      </c>
      <c r="M17" s="5"/>
      <c r="T17" t="s">
        <v>240</v>
      </c>
      <c r="U17">
        <v>273</v>
      </c>
      <c r="AA17" s="7"/>
    </row>
    <row r="18" spans="6:27" x14ac:dyDescent="0.3">
      <c r="F18" t="s">
        <v>241</v>
      </c>
      <c r="G18">
        <v>3.1399999999999997E-2</v>
      </c>
      <c r="M18" s="5"/>
      <c r="T18" t="s">
        <v>241</v>
      </c>
      <c r="U18">
        <v>3.1399999999999997E-2</v>
      </c>
      <c r="AA18" s="7"/>
    </row>
    <row r="19" spans="6:27" x14ac:dyDescent="0.3">
      <c r="L19" s="14" t="s">
        <v>247</v>
      </c>
      <c r="M19" s="15" t="s">
        <v>248</v>
      </c>
      <c r="Z19" s="14" t="s">
        <v>249</v>
      </c>
      <c r="AA19" s="16" t="s">
        <v>248</v>
      </c>
    </row>
    <row r="20" spans="6:27" x14ac:dyDescent="0.3">
      <c r="F20" t="s">
        <v>242</v>
      </c>
      <c r="G20">
        <f>G17/I16</f>
        <v>0.95521343596920916</v>
      </c>
      <c r="L20">
        <f>I9-I3</f>
        <v>80.180000000000007</v>
      </c>
      <c r="M20" s="7">
        <f>AH9-AH3</f>
        <v>366</v>
      </c>
      <c r="T20" t="s">
        <v>242</v>
      </c>
      <c r="U20">
        <f>U17/W16</f>
        <v>0.95521343596920916</v>
      </c>
      <c r="Z20">
        <f>O9-O3</f>
        <v>3.3400000000000041E-2</v>
      </c>
      <c r="AA20" s="7">
        <f>AH8-AH3</f>
        <v>305</v>
      </c>
    </row>
    <row r="21" spans="6:27" x14ac:dyDescent="0.3">
      <c r="F21" t="s">
        <v>243</v>
      </c>
      <c r="G21">
        <f>1/G18</f>
        <v>31.847133757961785</v>
      </c>
      <c r="M21" s="11">
        <f>M20/60</f>
        <v>6.1</v>
      </c>
      <c r="T21" t="s">
        <v>243</v>
      </c>
      <c r="U21">
        <f>1/U18</f>
        <v>31.847133757961785</v>
      </c>
      <c r="AA21" s="11"/>
    </row>
    <row r="22" spans="6:27" x14ac:dyDescent="0.3">
      <c r="F22" t="s">
        <v>244</v>
      </c>
      <c r="G22">
        <f>G15/G20</f>
        <v>2.3450256410256411E-2</v>
      </c>
      <c r="T22" t="s">
        <v>244</v>
      </c>
      <c r="U22">
        <f>U15/U20</f>
        <v>2.3450256410256411E-2</v>
      </c>
      <c r="AA22" s="7"/>
    </row>
    <row r="23" spans="6:27" x14ac:dyDescent="0.3">
      <c r="L23" s="6">
        <f>(L20/M20)*(G14/G15)/G18</f>
        <v>3.0118530196353372</v>
      </c>
      <c r="Z23" s="6">
        <f>(Z20/AA20)*(U14/U15)/U18</f>
        <v>1.5055508733722183E-3</v>
      </c>
      <c r="AA23" s="7"/>
    </row>
    <row r="24" spans="6:27" x14ac:dyDescent="0.3">
      <c r="F24" s="10">
        <f>(G13)*(G14/G22)*(G21)</f>
        <v>2.8769624715201081</v>
      </c>
      <c r="T24" s="10">
        <f>(U13)*(U14/U22)*(U21)</f>
        <v>1.4381224227803201E-3</v>
      </c>
      <c r="AA24" s="7"/>
    </row>
    <row r="26" spans="6:27" x14ac:dyDescent="0.3">
      <c r="Y26" s="12" t="s">
        <v>245</v>
      </c>
      <c r="Z26" s="12">
        <f>Z23*298</f>
        <v>0.44865416026492105</v>
      </c>
      <c r="AA26" s="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BBB6F-3650-4AB5-A451-509E5BA73122}">
  <dimension ref="A1:AH26"/>
  <sheetViews>
    <sheetView topLeftCell="J1" workbookViewId="0">
      <selection activeCell="Z26" sqref="Z26"/>
    </sheetView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</v>
      </c>
      <c r="K1" t="s">
        <v>7</v>
      </c>
      <c r="L1" t="s">
        <v>9</v>
      </c>
      <c r="M1" t="s">
        <v>6</v>
      </c>
      <c r="N1" t="s">
        <v>7</v>
      </c>
      <c r="O1" t="s">
        <v>10</v>
      </c>
      <c r="P1" t="s">
        <v>6</v>
      </c>
      <c r="Q1" t="s">
        <v>7</v>
      </c>
      <c r="R1" t="s">
        <v>11</v>
      </c>
      <c r="S1" t="s">
        <v>6</v>
      </c>
      <c r="T1" t="s">
        <v>7</v>
      </c>
      <c r="U1" t="s">
        <v>12</v>
      </c>
      <c r="V1" t="s">
        <v>6</v>
      </c>
      <c r="W1" t="s">
        <v>7</v>
      </c>
      <c r="X1" t="s">
        <v>13</v>
      </c>
      <c r="Y1" t="s">
        <v>6</v>
      </c>
      <c r="Z1" t="s">
        <v>7</v>
      </c>
      <c r="AA1" t="s">
        <v>14</v>
      </c>
      <c r="AB1" t="s">
        <v>6</v>
      </c>
      <c r="AC1" t="s">
        <v>7</v>
      </c>
      <c r="AD1" t="s">
        <v>15</v>
      </c>
      <c r="AE1" t="s">
        <v>6</v>
      </c>
      <c r="AF1" t="s">
        <v>7</v>
      </c>
      <c r="AG1" t="s">
        <v>16</v>
      </c>
      <c r="AH1" t="s">
        <v>251</v>
      </c>
    </row>
    <row r="2" spans="1:34" x14ac:dyDescent="0.3">
      <c r="A2">
        <v>0</v>
      </c>
      <c r="B2" s="1">
        <v>45777</v>
      </c>
      <c r="C2" s="2">
        <v>0.45800925925925928</v>
      </c>
      <c r="D2" t="s">
        <v>49</v>
      </c>
      <c r="E2" t="s">
        <v>18</v>
      </c>
      <c r="F2">
        <v>1.77</v>
      </c>
      <c r="G2" t="s">
        <v>19</v>
      </c>
      <c r="H2" t="s">
        <v>20</v>
      </c>
      <c r="I2">
        <v>467.91</v>
      </c>
      <c r="J2" t="s">
        <v>21</v>
      </c>
      <c r="K2" t="s">
        <v>20</v>
      </c>
      <c r="L2">
        <v>0</v>
      </c>
      <c r="M2" t="s">
        <v>21</v>
      </c>
      <c r="N2" t="s">
        <v>20</v>
      </c>
      <c r="O2">
        <v>0.38450000000000001</v>
      </c>
      <c r="P2" t="s">
        <v>21</v>
      </c>
      <c r="Q2" t="s">
        <v>20</v>
      </c>
      <c r="R2">
        <v>6.0999999999999999E-2</v>
      </c>
      <c r="S2" t="s">
        <v>21</v>
      </c>
      <c r="T2" t="s">
        <v>20</v>
      </c>
      <c r="U2">
        <v>2.0539999999999998</v>
      </c>
      <c r="V2" t="s">
        <v>21</v>
      </c>
      <c r="W2" t="s">
        <v>20</v>
      </c>
      <c r="X2">
        <v>1020.8</v>
      </c>
      <c r="Y2" t="s">
        <v>22</v>
      </c>
      <c r="Z2" t="s">
        <v>23</v>
      </c>
      <c r="AA2">
        <v>39.06</v>
      </c>
      <c r="AB2" t="s">
        <v>24</v>
      </c>
      <c r="AC2" t="s">
        <v>23</v>
      </c>
      <c r="AD2">
        <v>55.54</v>
      </c>
      <c r="AE2" t="s">
        <v>24</v>
      </c>
      <c r="AF2" t="s">
        <v>23</v>
      </c>
      <c r="AG2" t="s">
        <v>25</v>
      </c>
      <c r="AH2" s="5">
        <f>HOUR(C2)*3600 + MINUTE(C2)*60 + SECOND(C2)</f>
        <v>39572</v>
      </c>
    </row>
    <row r="3" spans="1:34" x14ac:dyDescent="0.3">
      <c r="A3">
        <v>0</v>
      </c>
      <c r="B3" s="1">
        <v>45777</v>
      </c>
      <c r="C3" s="2">
        <v>0.45871527777777776</v>
      </c>
      <c r="D3" t="s">
        <v>50</v>
      </c>
      <c r="E3" t="s">
        <v>18</v>
      </c>
      <c r="F3">
        <v>1.72</v>
      </c>
      <c r="G3" t="s">
        <v>19</v>
      </c>
      <c r="H3" t="s">
        <v>20</v>
      </c>
      <c r="I3" s="14">
        <v>462.2</v>
      </c>
      <c r="J3" t="s">
        <v>21</v>
      </c>
      <c r="K3" t="s">
        <v>20</v>
      </c>
      <c r="L3">
        <v>0</v>
      </c>
      <c r="M3" t="s">
        <v>21</v>
      </c>
      <c r="N3" t="s">
        <v>20</v>
      </c>
      <c r="O3" s="14">
        <v>0.40160000000000001</v>
      </c>
      <c r="P3" t="s">
        <v>21</v>
      </c>
      <c r="Q3" t="s">
        <v>20</v>
      </c>
      <c r="R3">
        <v>1.4999999999999999E-2</v>
      </c>
      <c r="S3" t="s">
        <v>21</v>
      </c>
      <c r="T3" t="s">
        <v>20</v>
      </c>
      <c r="U3">
        <v>2.0609999999999999</v>
      </c>
      <c r="V3" t="s">
        <v>21</v>
      </c>
      <c r="W3" t="s">
        <v>20</v>
      </c>
      <c r="X3">
        <v>1020.7</v>
      </c>
      <c r="Y3" t="s">
        <v>22</v>
      </c>
      <c r="Z3" t="s">
        <v>23</v>
      </c>
      <c r="AA3">
        <v>39.39</v>
      </c>
      <c r="AB3" t="s">
        <v>24</v>
      </c>
      <c r="AC3" t="s">
        <v>23</v>
      </c>
      <c r="AD3">
        <v>55.63</v>
      </c>
      <c r="AE3" t="s">
        <v>24</v>
      </c>
      <c r="AF3" t="s">
        <v>23</v>
      </c>
      <c r="AG3" t="s">
        <v>25</v>
      </c>
      <c r="AH3" s="5">
        <f t="shared" ref="AH3:AH9" si="0">HOUR(C3)*3600 + MINUTE(C3)*60 + SECOND(C3)</f>
        <v>39633</v>
      </c>
    </row>
    <row r="4" spans="1:34" x14ac:dyDescent="0.3">
      <c r="A4">
        <v>0</v>
      </c>
      <c r="B4" s="1">
        <v>45777</v>
      </c>
      <c r="C4" s="2">
        <v>0.4594212962962963</v>
      </c>
      <c r="D4" t="s">
        <v>51</v>
      </c>
      <c r="E4" t="s">
        <v>18</v>
      </c>
      <c r="F4">
        <v>1.79</v>
      </c>
      <c r="G4" t="s">
        <v>19</v>
      </c>
      <c r="H4" t="s">
        <v>20</v>
      </c>
      <c r="I4" s="14">
        <v>476.46</v>
      </c>
      <c r="J4" t="s">
        <v>21</v>
      </c>
      <c r="K4" t="s">
        <v>20</v>
      </c>
      <c r="L4">
        <v>0</v>
      </c>
      <c r="M4" t="s">
        <v>21</v>
      </c>
      <c r="N4" t="s">
        <v>20</v>
      </c>
      <c r="O4" s="14">
        <v>0.41930000000000001</v>
      </c>
      <c r="P4" t="s">
        <v>21</v>
      </c>
      <c r="Q4" t="s">
        <v>20</v>
      </c>
      <c r="R4">
        <v>0.11</v>
      </c>
      <c r="S4" t="s">
        <v>21</v>
      </c>
      <c r="T4" t="s">
        <v>20</v>
      </c>
      <c r="U4">
        <v>2.0539999999999998</v>
      </c>
      <c r="V4" t="s">
        <v>21</v>
      </c>
      <c r="W4" t="s">
        <v>20</v>
      </c>
      <c r="X4">
        <v>1020.8</v>
      </c>
      <c r="Y4" t="s">
        <v>22</v>
      </c>
      <c r="Z4" t="s">
        <v>23</v>
      </c>
      <c r="AA4">
        <v>39.840000000000003</v>
      </c>
      <c r="AB4" t="s">
        <v>24</v>
      </c>
      <c r="AC4" t="s">
        <v>23</v>
      </c>
      <c r="AD4">
        <v>55.76</v>
      </c>
      <c r="AE4" t="s">
        <v>24</v>
      </c>
      <c r="AF4" t="s">
        <v>23</v>
      </c>
      <c r="AG4" t="s">
        <v>25</v>
      </c>
      <c r="AH4" s="5">
        <f t="shared" si="0"/>
        <v>39694</v>
      </c>
    </row>
    <row r="5" spans="1:34" x14ac:dyDescent="0.3">
      <c r="A5">
        <v>0</v>
      </c>
      <c r="B5" s="1">
        <v>45777</v>
      </c>
      <c r="C5" s="2">
        <v>0.46012731481481484</v>
      </c>
      <c r="D5" t="s">
        <v>52</v>
      </c>
      <c r="E5" t="s">
        <v>18</v>
      </c>
      <c r="F5">
        <v>1.83</v>
      </c>
      <c r="G5" t="s">
        <v>19</v>
      </c>
      <c r="H5" t="s">
        <v>20</v>
      </c>
      <c r="I5" s="14">
        <v>492.01</v>
      </c>
      <c r="J5" t="s">
        <v>21</v>
      </c>
      <c r="K5" t="s">
        <v>20</v>
      </c>
      <c r="L5">
        <v>0</v>
      </c>
      <c r="M5" t="s">
        <v>21</v>
      </c>
      <c r="N5" t="s">
        <v>20</v>
      </c>
      <c r="O5" s="14">
        <v>0.43959999999999999</v>
      </c>
      <c r="P5" t="s">
        <v>21</v>
      </c>
      <c r="Q5" t="s">
        <v>20</v>
      </c>
      <c r="R5">
        <v>6.8000000000000005E-2</v>
      </c>
      <c r="S5" t="s">
        <v>21</v>
      </c>
      <c r="T5" t="s">
        <v>20</v>
      </c>
      <c r="U5">
        <v>2.0529999999999999</v>
      </c>
      <c r="V5" t="s">
        <v>21</v>
      </c>
      <c r="W5" t="s">
        <v>20</v>
      </c>
      <c r="X5">
        <v>1020.8</v>
      </c>
      <c r="Y5" t="s">
        <v>22</v>
      </c>
      <c r="Z5" t="s">
        <v>23</v>
      </c>
      <c r="AA5">
        <v>40.200000000000003</v>
      </c>
      <c r="AB5" t="s">
        <v>24</v>
      </c>
      <c r="AC5" t="s">
        <v>23</v>
      </c>
      <c r="AD5">
        <v>55.87</v>
      </c>
      <c r="AE5" t="s">
        <v>24</v>
      </c>
      <c r="AF5" t="s">
        <v>23</v>
      </c>
      <c r="AG5" t="s">
        <v>25</v>
      </c>
      <c r="AH5" s="5">
        <f t="shared" si="0"/>
        <v>39755</v>
      </c>
    </row>
    <row r="6" spans="1:34" x14ac:dyDescent="0.3">
      <c r="A6">
        <v>0</v>
      </c>
      <c r="B6" s="1">
        <v>45777</v>
      </c>
      <c r="C6" s="2">
        <v>0.46083333333333332</v>
      </c>
      <c r="D6" t="s">
        <v>53</v>
      </c>
      <c r="E6" t="s">
        <v>18</v>
      </c>
      <c r="F6">
        <v>1.88</v>
      </c>
      <c r="G6" t="s">
        <v>19</v>
      </c>
      <c r="H6" t="s">
        <v>20</v>
      </c>
      <c r="I6" s="14">
        <v>505.5</v>
      </c>
      <c r="J6" t="s">
        <v>21</v>
      </c>
      <c r="K6" t="s">
        <v>20</v>
      </c>
      <c r="L6">
        <v>0</v>
      </c>
      <c r="M6" t="s">
        <v>21</v>
      </c>
      <c r="N6" t="s">
        <v>20</v>
      </c>
      <c r="O6" s="14">
        <v>0.46079999999999999</v>
      </c>
      <c r="P6" t="s">
        <v>21</v>
      </c>
      <c r="Q6" t="s">
        <v>20</v>
      </c>
      <c r="R6">
        <v>6.3E-2</v>
      </c>
      <c r="S6" t="s">
        <v>21</v>
      </c>
      <c r="T6" t="s">
        <v>20</v>
      </c>
      <c r="U6">
        <v>2.06</v>
      </c>
      <c r="V6" t="s">
        <v>21</v>
      </c>
      <c r="W6" t="s">
        <v>20</v>
      </c>
      <c r="X6">
        <v>1020.9</v>
      </c>
      <c r="Y6" t="s">
        <v>22</v>
      </c>
      <c r="Z6" t="s">
        <v>23</v>
      </c>
      <c r="AA6">
        <v>40.58</v>
      </c>
      <c r="AB6" t="s">
        <v>24</v>
      </c>
      <c r="AC6" t="s">
        <v>23</v>
      </c>
      <c r="AD6">
        <v>56.04</v>
      </c>
      <c r="AE6" t="s">
        <v>24</v>
      </c>
      <c r="AF6" t="s">
        <v>23</v>
      </c>
      <c r="AG6" t="s">
        <v>25</v>
      </c>
      <c r="AH6" s="5">
        <f t="shared" si="0"/>
        <v>39816</v>
      </c>
    </row>
    <row r="7" spans="1:34" x14ac:dyDescent="0.3">
      <c r="A7">
        <v>0</v>
      </c>
      <c r="B7" s="1">
        <v>45777</v>
      </c>
      <c r="C7" s="2">
        <v>0.46153935185185185</v>
      </c>
      <c r="D7" t="s">
        <v>54</v>
      </c>
      <c r="E7" t="s">
        <v>18</v>
      </c>
      <c r="F7">
        <v>1.92</v>
      </c>
      <c r="G7" t="s">
        <v>19</v>
      </c>
      <c r="H7" t="s">
        <v>20</v>
      </c>
      <c r="I7" s="14">
        <v>517.28</v>
      </c>
      <c r="J7" t="s">
        <v>21</v>
      </c>
      <c r="K7" t="s">
        <v>20</v>
      </c>
      <c r="L7">
        <v>0</v>
      </c>
      <c r="M7" t="s">
        <v>21</v>
      </c>
      <c r="N7" t="s">
        <v>20</v>
      </c>
      <c r="O7" s="14">
        <v>0.47320000000000001</v>
      </c>
      <c r="P7" t="s">
        <v>21</v>
      </c>
      <c r="Q7" t="s">
        <v>20</v>
      </c>
      <c r="R7">
        <v>7.9000000000000001E-2</v>
      </c>
      <c r="S7" t="s">
        <v>21</v>
      </c>
      <c r="T7" t="s">
        <v>20</v>
      </c>
      <c r="U7">
        <v>2.0640000000000001</v>
      </c>
      <c r="V7" t="s">
        <v>21</v>
      </c>
      <c r="W7" t="s">
        <v>20</v>
      </c>
      <c r="X7">
        <v>1020.8</v>
      </c>
      <c r="Y7" t="s">
        <v>22</v>
      </c>
      <c r="Z7" t="s">
        <v>23</v>
      </c>
      <c r="AA7">
        <v>41.03</v>
      </c>
      <c r="AB7" t="s">
        <v>24</v>
      </c>
      <c r="AC7" t="s">
        <v>23</v>
      </c>
      <c r="AD7">
        <v>56.16</v>
      </c>
      <c r="AE7" t="s">
        <v>24</v>
      </c>
      <c r="AF7" t="s">
        <v>23</v>
      </c>
      <c r="AG7" t="s">
        <v>25</v>
      </c>
      <c r="AH7" s="5">
        <f t="shared" si="0"/>
        <v>39877</v>
      </c>
    </row>
    <row r="8" spans="1:34" x14ac:dyDescent="0.3">
      <c r="A8">
        <v>0</v>
      </c>
      <c r="B8" s="1">
        <v>45777</v>
      </c>
      <c r="C8" s="2">
        <v>0.46225694444444443</v>
      </c>
      <c r="D8" t="s">
        <v>55</v>
      </c>
      <c r="E8" t="s">
        <v>18</v>
      </c>
      <c r="F8">
        <v>1.97</v>
      </c>
      <c r="G8" t="s">
        <v>19</v>
      </c>
      <c r="H8" t="s">
        <v>20</v>
      </c>
      <c r="I8" s="14">
        <v>530.80999999999995</v>
      </c>
      <c r="J8" t="s">
        <v>21</v>
      </c>
      <c r="K8" t="s">
        <v>20</v>
      </c>
      <c r="L8">
        <v>0</v>
      </c>
      <c r="M8" t="s">
        <v>21</v>
      </c>
      <c r="N8" t="s">
        <v>20</v>
      </c>
      <c r="O8" s="14">
        <v>0.48909999999999998</v>
      </c>
      <c r="P8" t="s">
        <v>21</v>
      </c>
      <c r="Q8" t="s">
        <v>20</v>
      </c>
      <c r="R8">
        <v>0.157</v>
      </c>
      <c r="S8" t="s">
        <v>21</v>
      </c>
      <c r="T8" t="s">
        <v>20</v>
      </c>
      <c r="U8">
        <v>2.0609999999999999</v>
      </c>
      <c r="V8" t="s">
        <v>21</v>
      </c>
      <c r="W8" t="s">
        <v>20</v>
      </c>
      <c r="X8">
        <v>1020.9</v>
      </c>
      <c r="Y8" t="s">
        <v>22</v>
      </c>
      <c r="Z8" t="s">
        <v>23</v>
      </c>
      <c r="AA8">
        <v>41.49</v>
      </c>
      <c r="AB8" t="s">
        <v>24</v>
      </c>
      <c r="AC8" t="s">
        <v>23</v>
      </c>
      <c r="AD8">
        <v>56.42</v>
      </c>
      <c r="AE8" t="s">
        <v>24</v>
      </c>
      <c r="AF8" t="s">
        <v>23</v>
      </c>
      <c r="AG8" t="s">
        <v>25</v>
      </c>
      <c r="AH8" s="5">
        <f t="shared" si="0"/>
        <v>39939</v>
      </c>
    </row>
    <row r="9" spans="1:34" x14ac:dyDescent="0.3">
      <c r="A9">
        <v>0</v>
      </c>
      <c r="B9" s="1">
        <v>45777</v>
      </c>
      <c r="C9" s="2">
        <v>0.46296296296296297</v>
      </c>
      <c r="D9" t="s">
        <v>56</v>
      </c>
      <c r="E9" t="s">
        <v>18</v>
      </c>
      <c r="F9">
        <v>2</v>
      </c>
      <c r="G9" t="s">
        <v>19</v>
      </c>
      <c r="H9" t="s">
        <v>20</v>
      </c>
      <c r="I9" s="14">
        <v>543.54</v>
      </c>
      <c r="J9" t="s">
        <v>21</v>
      </c>
      <c r="K9" t="s">
        <v>20</v>
      </c>
      <c r="L9">
        <v>0</v>
      </c>
      <c r="M9" t="s">
        <v>21</v>
      </c>
      <c r="N9" t="s">
        <v>20</v>
      </c>
      <c r="O9" s="14">
        <v>0.5101</v>
      </c>
      <c r="P9" t="s">
        <v>21</v>
      </c>
      <c r="Q9" t="s">
        <v>20</v>
      </c>
      <c r="R9">
        <v>8.5000000000000006E-2</v>
      </c>
      <c r="S9" t="s">
        <v>21</v>
      </c>
      <c r="T9" t="s">
        <v>20</v>
      </c>
      <c r="U9">
        <v>2.0579999999999998</v>
      </c>
      <c r="V9" t="s">
        <v>21</v>
      </c>
      <c r="W9" t="s">
        <v>20</v>
      </c>
      <c r="X9">
        <v>1021</v>
      </c>
      <c r="Y9" t="s">
        <v>22</v>
      </c>
      <c r="Z9" t="s">
        <v>23</v>
      </c>
      <c r="AA9">
        <v>41.65</v>
      </c>
      <c r="AB9" t="s">
        <v>24</v>
      </c>
      <c r="AC9" t="s">
        <v>23</v>
      </c>
      <c r="AD9">
        <v>56.57</v>
      </c>
      <c r="AE9" t="s">
        <v>24</v>
      </c>
      <c r="AF9" t="s">
        <v>23</v>
      </c>
      <c r="AG9" t="s">
        <v>25</v>
      </c>
      <c r="AH9" s="5">
        <f t="shared" si="0"/>
        <v>40000</v>
      </c>
    </row>
    <row r="12" spans="1:34" ht="23.4" x14ac:dyDescent="0.45">
      <c r="A12" s="3" t="s">
        <v>231</v>
      </c>
      <c r="O12" s="4" t="s">
        <v>232</v>
      </c>
    </row>
    <row r="13" spans="1:34" x14ac:dyDescent="0.3">
      <c r="B13" t="s">
        <v>233</v>
      </c>
      <c r="C13">
        <f>L20</f>
        <v>81.339999999999975</v>
      </c>
      <c r="F13" t="s">
        <v>234</v>
      </c>
      <c r="G13" s="5">
        <f>C15</f>
        <v>0.22163487738419613</v>
      </c>
      <c r="M13" s="5"/>
      <c r="P13" t="s">
        <v>233</v>
      </c>
      <c r="Q13">
        <f>Z20</f>
        <v>0.10849999999999999</v>
      </c>
      <c r="T13" t="s">
        <v>234</v>
      </c>
      <c r="U13" s="5">
        <f>Q15</f>
        <v>2.9564032697547681E-4</v>
      </c>
      <c r="AA13" s="7"/>
    </row>
    <row r="14" spans="1:34" x14ac:dyDescent="0.3">
      <c r="B14" t="s">
        <v>2</v>
      </c>
      <c r="C14" s="5">
        <f>M20</f>
        <v>367</v>
      </c>
      <c r="F14" t="s">
        <v>235</v>
      </c>
      <c r="G14" s="8">
        <v>9.6699999999999998E-3</v>
      </c>
      <c r="M14" s="5"/>
      <c r="P14" t="s">
        <v>2</v>
      </c>
      <c r="Q14" s="5">
        <f>AA20</f>
        <v>367</v>
      </c>
      <c r="T14" t="s">
        <v>235</v>
      </c>
      <c r="U14" s="8">
        <v>9.6699999999999998E-3</v>
      </c>
      <c r="AA14" s="7"/>
    </row>
    <row r="15" spans="1:34" x14ac:dyDescent="0.3">
      <c r="B15" t="s">
        <v>236</v>
      </c>
      <c r="C15" s="5">
        <f>C13/C14</f>
        <v>0.22163487738419613</v>
      </c>
      <c r="F15" t="s">
        <v>237</v>
      </c>
      <c r="G15">
        <f>22.4*10^-3</f>
        <v>2.24E-2</v>
      </c>
      <c r="M15" s="5"/>
      <c r="P15" t="s">
        <v>236</v>
      </c>
      <c r="Q15" s="9">
        <f>Q13/Q14</f>
        <v>2.9564032697547681E-4</v>
      </c>
      <c r="T15" t="s">
        <v>237</v>
      </c>
      <c r="U15">
        <f>22.4*10^-3</f>
        <v>2.24E-2</v>
      </c>
      <c r="AA15" s="7"/>
    </row>
    <row r="16" spans="1:34" x14ac:dyDescent="0.3">
      <c r="F16" s="10" t="s">
        <v>238</v>
      </c>
      <c r="G16" s="10">
        <v>12.8</v>
      </c>
      <c r="H16" t="s">
        <v>239</v>
      </c>
      <c r="I16">
        <f>G16+273</f>
        <v>285.8</v>
      </c>
      <c r="M16" s="5"/>
      <c r="T16" s="10" t="s">
        <v>238</v>
      </c>
      <c r="U16" s="10">
        <v>12.8</v>
      </c>
      <c r="V16" t="s">
        <v>239</v>
      </c>
      <c r="W16">
        <f>U16+273</f>
        <v>285.8</v>
      </c>
      <c r="AA16" s="7"/>
    </row>
    <row r="17" spans="6:27" x14ac:dyDescent="0.3">
      <c r="F17" t="s">
        <v>240</v>
      </c>
      <c r="G17">
        <v>273</v>
      </c>
      <c r="M17" s="5"/>
      <c r="T17" t="s">
        <v>240</v>
      </c>
      <c r="U17">
        <v>273</v>
      </c>
      <c r="AA17" s="7"/>
    </row>
    <row r="18" spans="6:27" x14ac:dyDescent="0.3">
      <c r="F18" t="s">
        <v>241</v>
      </c>
      <c r="G18">
        <v>3.1399999999999997E-2</v>
      </c>
      <c r="M18" s="5"/>
      <c r="T18" t="s">
        <v>241</v>
      </c>
      <c r="U18">
        <v>3.1399999999999997E-2</v>
      </c>
      <c r="AA18" s="7"/>
    </row>
    <row r="19" spans="6:27" x14ac:dyDescent="0.3">
      <c r="L19" s="14" t="s">
        <v>247</v>
      </c>
      <c r="M19" s="15" t="s">
        <v>248</v>
      </c>
      <c r="Z19" s="14" t="s">
        <v>249</v>
      </c>
      <c r="AA19" s="16" t="s">
        <v>248</v>
      </c>
    </row>
    <row r="20" spans="6:27" x14ac:dyDescent="0.3">
      <c r="F20" t="s">
        <v>242</v>
      </c>
      <c r="G20">
        <f>G17/I16</f>
        <v>0.95521343596920916</v>
      </c>
      <c r="L20">
        <f>I9-I3</f>
        <v>81.339999999999975</v>
      </c>
      <c r="M20" s="7">
        <f>AH9-AH3</f>
        <v>367</v>
      </c>
      <c r="T20" t="s">
        <v>242</v>
      </c>
      <c r="U20">
        <f>U17/W16</f>
        <v>0.95521343596920916</v>
      </c>
      <c r="Z20">
        <f>O9-O3</f>
        <v>0.10849999999999999</v>
      </c>
      <c r="AA20" s="7">
        <f>AH9-AH3</f>
        <v>367</v>
      </c>
    </row>
    <row r="21" spans="6:27" x14ac:dyDescent="0.3">
      <c r="F21" t="s">
        <v>243</v>
      </c>
      <c r="G21">
        <f>1/G18</f>
        <v>31.847133757961785</v>
      </c>
      <c r="M21" s="11">
        <f>M20/60</f>
        <v>6.1166666666666663</v>
      </c>
      <c r="T21" t="s">
        <v>243</v>
      </c>
      <c r="U21">
        <f>1/U18</f>
        <v>31.847133757961785</v>
      </c>
      <c r="AA21" s="11"/>
    </row>
    <row r="22" spans="6:27" x14ac:dyDescent="0.3">
      <c r="F22" t="s">
        <v>244</v>
      </c>
      <c r="G22">
        <f>G15/G20</f>
        <v>2.3450256410256411E-2</v>
      </c>
      <c r="T22" t="s">
        <v>244</v>
      </c>
      <c r="U22">
        <f>U15/U20</f>
        <v>2.3450256410256411E-2</v>
      </c>
      <c r="AA22" s="7"/>
    </row>
    <row r="23" spans="6:27" x14ac:dyDescent="0.3">
      <c r="L23" s="6">
        <f>(L20/M20)*(G14/G15)/G18</f>
        <v>3.0471014335549031</v>
      </c>
      <c r="Z23" s="6">
        <f>(Z20/AA20)*(U14/U15)/U18</f>
        <v>4.0645501050000869E-3</v>
      </c>
      <c r="AA23" s="7"/>
    </row>
    <row r="24" spans="6:27" x14ac:dyDescent="0.3">
      <c r="F24" s="10">
        <f>(G13)*(G14/G22)*(G21)</f>
        <v>2.9106322300926815</v>
      </c>
      <c r="T24" s="10">
        <f>(U13)*(U14/U22)*(U21)</f>
        <v>3.8825128714661426E-3</v>
      </c>
      <c r="AA24" s="7"/>
    </row>
    <row r="26" spans="6:27" x14ac:dyDescent="0.3">
      <c r="Y26" s="12" t="s">
        <v>245</v>
      </c>
      <c r="Z26" s="12">
        <f>Z23*298</f>
        <v>1.2112359312900258</v>
      </c>
      <c r="AA26" s="7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F23C3-877F-4465-A271-C0259448EFE5}">
  <dimension ref="A1:AH26"/>
  <sheetViews>
    <sheetView topLeftCell="J18" workbookViewId="0">
      <selection activeCell="Z26" sqref="Z26"/>
    </sheetView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</v>
      </c>
      <c r="K1" t="s">
        <v>7</v>
      </c>
      <c r="L1" t="s">
        <v>9</v>
      </c>
      <c r="M1" t="s">
        <v>6</v>
      </c>
      <c r="N1" t="s">
        <v>7</v>
      </c>
      <c r="O1" t="s">
        <v>10</v>
      </c>
      <c r="P1" t="s">
        <v>6</v>
      </c>
      <c r="Q1" t="s">
        <v>7</v>
      </c>
      <c r="R1" t="s">
        <v>11</v>
      </c>
      <c r="S1" t="s">
        <v>6</v>
      </c>
      <c r="T1" t="s">
        <v>7</v>
      </c>
      <c r="U1" t="s">
        <v>12</v>
      </c>
      <c r="V1" t="s">
        <v>6</v>
      </c>
      <c r="W1" t="s">
        <v>7</v>
      </c>
      <c r="X1" t="s">
        <v>13</v>
      </c>
      <c r="Y1" t="s">
        <v>6</v>
      </c>
      <c r="Z1" t="s">
        <v>7</v>
      </c>
      <c r="AA1" t="s">
        <v>14</v>
      </c>
      <c r="AB1" t="s">
        <v>6</v>
      </c>
      <c r="AC1" t="s">
        <v>7</v>
      </c>
      <c r="AD1" t="s">
        <v>15</v>
      </c>
      <c r="AE1" t="s">
        <v>6</v>
      </c>
      <c r="AF1" t="s">
        <v>7</v>
      </c>
      <c r="AG1" t="s">
        <v>16</v>
      </c>
      <c r="AH1" t="s">
        <v>251</v>
      </c>
    </row>
    <row r="2" spans="1:34" x14ac:dyDescent="0.3">
      <c r="A2">
        <v>0</v>
      </c>
      <c r="B2" s="1">
        <v>45777</v>
      </c>
      <c r="C2" s="2">
        <v>0.46467592592592594</v>
      </c>
      <c r="D2" t="s">
        <v>57</v>
      </c>
      <c r="E2" t="s">
        <v>18</v>
      </c>
      <c r="F2">
        <v>1.72</v>
      </c>
      <c r="G2" t="s">
        <v>19</v>
      </c>
      <c r="H2" t="s">
        <v>20</v>
      </c>
      <c r="I2">
        <v>465.96</v>
      </c>
      <c r="J2" t="s">
        <v>21</v>
      </c>
      <c r="K2" t="s">
        <v>20</v>
      </c>
      <c r="L2">
        <v>0</v>
      </c>
      <c r="M2" t="s">
        <v>21</v>
      </c>
      <c r="N2" t="s">
        <v>20</v>
      </c>
      <c r="O2">
        <v>0.40460000000000002</v>
      </c>
      <c r="P2" t="s">
        <v>21</v>
      </c>
      <c r="Q2" t="s">
        <v>20</v>
      </c>
      <c r="R2">
        <v>3.2000000000000001E-2</v>
      </c>
      <c r="S2" t="s">
        <v>21</v>
      </c>
      <c r="T2" t="s">
        <v>20</v>
      </c>
      <c r="U2">
        <v>2.1030000000000002</v>
      </c>
      <c r="V2" t="s">
        <v>21</v>
      </c>
      <c r="W2" t="s">
        <v>20</v>
      </c>
      <c r="X2">
        <v>1020.9</v>
      </c>
      <c r="Y2" t="s">
        <v>22</v>
      </c>
      <c r="Z2" t="s">
        <v>23</v>
      </c>
      <c r="AA2">
        <v>42.37</v>
      </c>
      <c r="AB2" t="s">
        <v>24</v>
      </c>
      <c r="AC2" t="s">
        <v>23</v>
      </c>
      <c r="AD2">
        <v>56.62</v>
      </c>
      <c r="AE2" t="s">
        <v>24</v>
      </c>
      <c r="AF2" t="s">
        <v>23</v>
      </c>
      <c r="AG2" t="s">
        <v>25</v>
      </c>
      <c r="AH2" s="5">
        <f>HOUR(C2)*3600 + MINUTE(C2)*60 + SECOND(C2)</f>
        <v>40148</v>
      </c>
    </row>
    <row r="3" spans="1:34" x14ac:dyDescent="0.3">
      <c r="A3">
        <v>0</v>
      </c>
      <c r="B3" s="1">
        <v>45777</v>
      </c>
      <c r="C3" s="2">
        <v>0.46538194444444442</v>
      </c>
      <c r="D3" t="s">
        <v>58</v>
      </c>
      <c r="E3" t="s">
        <v>18</v>
      </c>
      <c r="F3">
        <v>1.72</v>
      </c>
      <c r="G3" t="s">
        <v>19</v>
      </c>
      <c r="H3" t="s">
        <v>20</v>
      </c>
      <c r="I3" s="14">
        <v>458.86</v>
      </c>
      <c r="J3" t="s">
        <v>21</v>
      </c>
      <c r="K3" t="s">
        <v>20</v>
      </c>
      <c r="L3">
        <v>0</v>
      </c>
      <c r="M3" t="s">
        <v>21</v>
      </c>
      <c r="N3" t="s">
        <v>20</v>
      </c>
      <c r="O3" s="14">
        <v>0.37759999999999999</v>
      </c>
      <c r="P3" t="s">
        <v>21</v>
      </c>
      <c r="Q3" t="s">
        <v>20</v>
      </c>
      <c r="R3">
        <v>3.3000000000000002E-2</v>
      </c>
      <c r="S3" t="s">
        <v>21</v>
      </c>
      <c r="T3" t="s">
        <v>20</v>
      </c>
      <c r="U3">
        <v>2.0859999999999999</v>
      </c>
      <c r="V3" t="s">
        <v>21</v>
      </c>
      <c r="W3" t="s">
        <v>20</v>
      </c>
      <c r="X3">
        <v>1021</v>
      </c>
      <c r="Y3" t="s">
        <v>22</v>
      </c>
      <c r="Z3" t="s">
        <v>23</v>
      </c>
      <c r="AA3">
        <v>42.72</v>
      </c>
      <c r="AB3" t="s">
        <v>24</v>
      </c>
      <c r="AC3" t="s">
        <v>23</v>
      </c>
      <c r="AD3">
        <v>56.81</v>
      </c>
      <c r="AE3" t="s">
        <v>24</v>
      </c>
      <c r="AF3" t="s">
        <v>23</v>
      </c>
      <c r="AG3" t="s">
        <v>25</v>
      </c>
      <c r="AH3" s="5">
        <f t="shared" ref="AH3:AH10" si="0">HOUR(C3)*3600 + MINUTE(C3)*60 + SECOND(C3)</f>
        <v>40209</v>
      </c>
    </row>
    <row r="4" spans="1:34" x14ac:dyDescent="0.3">
      <c r="A4">
        <v>0</v>
      </c>
      <c r="B4" s="1">
        <v>45777</v>
      </c>
      <c r="C4" s="2">
        <v>0.46608796296296295</v>
      </c>
      <c r="D4" t="s">
        <v>59</v>
      </c>
      <c r="E4" t="s">
        <v>18</v>
      </c>
      <c r="F4">
        <v>1.8</v>
      </c>
      <c r="G4" t="s">
        <v>19</v>
      </c>
      <c r="H4" t="s">
        <v>20</v>
      </c>
      <c r="I4" s="14">
        <v>475.85</v>
      </c>
      <c r="J4" t="s">
        <v>21</v>
      </c>
      <c r="K4" t="s">
        <v>20</v>
      </c>
      <c r="L4">
        <v>0</v>
      </c>
      <c r="M4" t="s">
        <v>21</v>
      </c>
      <c r="N4" t="s">
        <v>20</v>
      </c>
      <c r="O4" s="14">
        <v>0.38100000000000001</v>
      </c>
      <c r="P4" t="s">
        <v>21</v>
      </c>
      <c r="Q4" t="s">
        <v>20</v>
      </c>
      <c r="R4">
        <v>2.8000000000000001E-2</v>
      </c>
      <c r="S4" t="s">
        <v>21</v>
      </c>
      <c r="T4" t="s">
        <v>20</v>
      </c>
      <c r="U4">
        <v>2.081</v>
      </c>
      <c r="V4" t="s">
        <v>21</v>
      </c>
      <c r="W4" t="s">
        <v>20</v>
      </c>
      <c r="X4">
        <v>1020.9</v>
      </c>
      <c r="Y4" t="s">
        <v>22</v>
      </c>
      <c r="Z4" t="s">
        <v>23</v>
      </c>
      <c r="AA4">
        <v>43.28</v>
      </c>
      <c r="AB4" t="s">
        <v>24</v>
      </c>
      <c r="AC4" t="s">
        <v>23</v>
      </c>
      <c r="AD4">
        <v>56.95</v>
      </c>
      <c r="AE4" t="s">
        <v>24</v>
      </c>
      <c r="AF4" t="s">
        <v>23</v>
      </c>
      <c r="AG4" t="s">
        <v>25</v>
      </c>
      <c r="AH4" s="5">
        <f t="shared" si="0"/>
        <v>40270</v>
      </c>
    </row>
    <row r="5" spans="1:34" x14ac:dyDescent="0.3">
      <c r="A5">
        <v>0</v>
      </c>
      <c r="B5" s="1">
        <v>45777</v>
      </c>
      <c r="C5" s="2">
        <v>0.46679398148148149</v>
      </c>
      <c r="D5" t="s">
        <v>60</v>
      </c>
      <c r="E5" t="s">
        <v>18</v>
      </c>
      <c r="F5">
        <v>1.86</v>
      </c>
      <c r="G5" t="s">
        <v>19</v>
      </c>
      <c r="H5" t="s">
        <v>20</v>
      </c>
      <c r="I5" s="14">
        <v>491.13</v>
      </c>
      <c r="J5" t="s">
        <v>21</v>
      </c>
      <c r="K5" t="s">
        <v>20</v>
      </c>
      <c r="L5">
        <v>0</v>
      </c>
      <c r="M5" t="s">
        <v>21</v>
      </c>
      <c r="N5" t="s">
        <v>20</v>
      </c>
      <c r="O5" s="14">
        <v>0.38279999999999997</v>
      </c>
      <c r="P5" t="s">
        <v>21</v>
      </c>
      <c r="Q5" t="s">
        <v>20</v>
      </c>
      <c r="R5">
        <v>7.0000000000000001E-3</v>
      </c>
      <c r="S5" t="s">
        <v>21</v>
      </c>
      <c r="T5" t="s">
        <v>20</v>
      </c>
      <c r="U5">
        <v>2.0840000000000001</v>
      </c>
      <c r="V5" t="s">
        <v>21</v>
      </c>
      <c r="W5" t="s">
        <v>20</v>
      </c>
      <c r="X5">
        <v>1021</v>
      </c>
      <c r="Y5" t="s">
        <v>22</v>
      </c>
      <c r="Z5" t="s">
        <v>23</v>
      </c>
      <c r="AA5">
        <v>43.66</v>
      </c>
      <c r="AB5" t="s">
        <v>24</v>
      </c>
      <c r="AC5" t="s">
        <v>23</v>
      </c>
      <c r="AD5">
        <v>57.21</v>
      </c>
      <c r="AE5" t="s">
        <v>24</v>
      </c>
      <c r="AF5" t="s">
        <v>23</v>
      </c>
      <c r="AG5" t="s">
        <v>25</v>
      </c>
      <c r="AH5" s="5">
        <f t="shared" si="0"/>
        <v>40331</v>
      </c>
    </row>
    <row r="6" spans="1:34" x14ac:dyDescent="0.3">
      <c r="A6">
        <v>0</v>
      </c>
      <c r="B6" s="1">
        <v>45777</v>
      </c>
      <c r="C6" s="2">
        <v>0.46750000000000003</v>
      </c>
      <c r="D6" t="s">
        <v>61</v>
      </c>
      <c r="E6" t="s">
        <v>18</v>
      </c>
      <c r="F6">
        <v>1.9</v>
      </c>
      <c r="G6" t="s">
        <v>19</v>
      </c>
      <c r="H6" t="s">
        <v>20</v>
      </c>
      <c r="I6" s="14">
        <v>504.56</v>
      </c>
      <c r="J6" t="s">
        <v>21</v>
      </c>
      <c r="K6" t="s">
        <v>20</v>
      </c>
      <c r="L6">
        <v>0</v>
      </c>
      <c r="M6" t="s">
        <v>21</v>
      </c>
      <c r="N6" t="s">
        <v>20</v>
      </c>
      <c r="O6" s="14">
        <v>0.3866</v>
      </c>
      <c r="P6" t="s">
        <v>21</v>
      </c>
      <c r="Q6" t="s">
        <v>20</v>
      </c>
      <c r="R6">
        <v>8.0000000000000002E-3</v>
      </c>
      <c r="S6" t="s">
        <v>21</v>
      </c>
      <c r="T6" t="s">
        <v>20</v>
      </c>
      <c r="U6">
        <v>2.0859999999999999</v>
      </c>
      <c r="V6" t="s">
        <v>21</v>
      </c>
      <c r="W6" t="s">
        <v>20</v>
      </c>
      <c r="X6">
        <v>1020.9</v>
      </c>
      <c r="Y6" t="s">
        <v>22</v>
      </c>
      <c r="Z6" t="s">
        <v>23</v>
      </c>
      <c r="AA6">
        <v>44.02</v>
      </c>
      <c r="AB6" t="s">
        <v>24</v>
      </c>
      <c r="AC6" t="s">
        <v>23</v>
      </c>
      <c r="AD6">
        <v>57.35</v>
      </c>
      <c r="AE6" t="s">
        <v>24</v>
      </c>
      <c r="AF6" t="s">
        <v>23</v>
      </c>
      <c r="AG6" t="s">
        <v>25</v>
      </c>
      <c r="AH6" s="5">
        <f t="shared" si="0"/>
        <v>40392</v>
      </c>
    </row>
    <row r="7" spans="1:34" x14ac:dyDescent="0.3">
      <c r="A7">
        <v>0</v>
      </c>
      <c r="B7" s="1">
        <v>45777</v>
      </c>
      <c r="C7" s="2">
        <v>0.46820601851851851</v>
      </c>
      <c r="D7" t="s">
        <v>62</v>
      </c>
      <c r="E7" t="s">
        <v>18</v>
      </c>
      <c r="F7">
        <v>1.96</v>
      </c>
      <c r="G7" t="s">
        <v>19</v>
      </c>
      <c r="H7" t="s">
        <v>20</v>
      </c>
      <c r="I7" s="14">
        <v>518.78</v>
      </c>
      <c r="J7" t="s">
        <v>21</v>
      </c>
      <c r="K7" t="s">
        <v>20</v>
      </c>
      <c r="L7">
        <v>0</v>
      </c>
      <c r="M7" t="s">
        <v>21</v>
      </c>
      <c r="N7" t="s">
        <v>20</v>
      </c>
      <c r="O7" s="14">
        <v>0.38519999999999999</v>
      </c>
      <c r="P7" t="s">
        <v>21</v>
      </c>
      <c r="Q7" t="s">
        <v>20</v>
      </c>
      <c r="R7">
        <v>1.4E-2</v>
      </c>
      <c r="S7" t="s">
        <v>21</v>
      </c>
      <c r="T7" t="s">
        <v>20</v>
      </c>
      <c r="U7">
        <v>2.097</v>
      </c>
      <c r="V7" t="s">
        <v>21</v>
      </c>
      <c r="W7" t="s">
        <v>20</v>
      </c>
      <c r="X7">
        <v>1021</v>
      </c>
      <c r="Y7" t="s">
        <v>22</v>
      </c>
      <c r="Z7" t="s">
        <v>23</v>
      </c>
      <c r="AA7">
        <v>44.47</v>
      </c>
      <c r="AB7" t="s">
        <v>24</v>
      </c>
      <c r="AC7" t="s">
        <v>23</v>
      </c>
      <c r="AD7">
        <v>57.51</v>
      </c>
      <c r="AE7" t="s">
        <v>24</v>
      </c>
      <c r="AF7" t="s">
        <v>23</v>
      </c>
      <c r="AG7" t="s">
        <v>25</v>
      </c>
      <c r="AH7" s="5">
        <f t="shared" si="0"/>
        <v>40453</v>
      </c>
    </row>
    <row r="8" spans="1:34" x14ac:dyDescent="0.3">
      <c r="A8">
        <v>0</v>
      </c>
      <c r="B8" s="1">
        <v>45777</v>
      </c>
      <c r="C8" s="2">
        <v>0.46891203703703704</v>
      </c>
      <c r="D8" t="s">
        <v>63</v>
      </c>
      <c r="E8" t="s">
        <v>18</v>
      </c>
      <c r="F8">
        <v>2.0099999999999998</v>
      </c>
      <c r="G8" t="s">
        <v>19</v>
      </c>
      <c r="H8" t="s">
        <v>20</v>
      </c>
      <c r="I8" s="14">
        <v>533.98</v>
      </c>
      <c r="J8" t="s">
        <v>21</v>
      </c>
      <c r="K8" t="s">
        <v>20</v>
      </c>
      <c r="L8">
        <v>1E-3</v>
      </c>
      <c r="M8" t="s">
        <v>21</v>
      </c>
      <c r="N8" t="s">
        <v>20</v>
      </c>
      <c r="O8" s="14">
        <v>0.3916</v>
      </c>
      <c r="P8" t="s">
        <v>21</v>
      </c>
      <c r="Q8" t="s">
        <v>20</v>
      </c>
      <c r="R8">
        <v>4.4999999999999998E-2</v>
      </c>
      <c r="S8" t="s">
        <v>21</v>
      </c>
      <c r="T8" t="s">
        <v>20</v>
      </c>
      <c r="U8">
        <v>2.109</v>
      </c>
      <c r="V8" t="s">
        <v>21</v>
      </c>
      <c r="W8" t="s">
        <v>20</v>
      </c>
      <c r="X8">
        <v>1021.1</v>
      </c>
      <c r="Y8" t="s">
        <v>22</v>
      </c>
      <c r="Z8" t="s">
        <v>23</v>
      </c>
      <c r="AA8">
        <v>44.94</v>
      </c>
      <c r="AB8" t="s">
        <v>24</v>
      </c>
      <c r="AC8" t="s">
        <v>23</v>
      </c>
      <c r="AD8">
        <v>57.74</v>
      </c>
      <c r="AE8" t="s">
        <v>24</v>
      </c>
      <c r="AF8" t="s">
        <v>23</v>
      </c>
      <c r="AG8" t="s">
        <v>25</v>
      </c>
      <c r="AH8" s="5">
        <f t="shared" si="0"/>
        <v>40514</v>
      </c>
    </row>
    <row r="9" spans="1:34" x14ac:dyDescent="0.3">
      <c r="A9">
        <v>0</v>
      </c>
      <c r="B9" s="1">
        <v>45777</v>
      </c>
      <c r="C9" s="2">
        <v>0.46961805555555558</v>
      </c>
      <c r="D9" t="s">
        <v>64</v>
      </c>
      <c r="E9" t="s">
        <v>18</v>
      </c>
      <c r="F9">
        <v>2.06</v>
      </c>
      <c r="G9" t="s">
        <v>19</v>
      </c>
      <c r="H9" t="s">
        <v>20</v>
      </c>
      <c r="I9" s="14">
        <v>547.65</v>
      </c>
      <c r="J9" t="s">
        <v>21</v>
      </c>
      <c r="K9" t="s">
        <v>20</v>
      </c>
      <c r="L9">
        <v>2E-3</v>
      </c>
      <c r="M9" t="s">
        <v>21</v>
      </c>
      <c r="N9" t="s">
        <v>20</v>
      </c>
      <c r="O9" s="14">
        <v>0.39879999999999999</v>
      </c>
      <c r="P9" t="s">
        <v>21</v>
      </c>
      <c r="Q9" t="s">
        <v>20</v>
      </c>
      <c r="R9">
        <v>0</v>
      </c>
      <c r="S9" t="s">
        <v>21</v>
      </c>
      <c r="T9" t="s">
        <v>20</v>
      </c>
      <c r="U9">
        <v>2.1040000000000001</v>
      </c>
      <c r="V9" t="s">
        <v>21</v>
      </c>
      <c r="W9" t="s">
        <v>20</v>
      </c>
      <c r="X9">
        <v>1020.9</v>
      </c>
      <c r="Y9" t="s">
        <v>22</v>
      </c>
      <c r="Z9" t="s">
        <v>23</v>
      </c>
      <c r="AA9">
        <v>45.29</v>
      </c>
      <c r="AB9" t="s">
        <v>24</v>
      </c>
      <c r="AC9" t="s">
        <v>23</v>
      </c>
      <c r="AD9">
        <v>57.96</v>
      </c>
      <c r="AE9" t="s">
        <v>24</v>
      </c>
      <c r="AF9" t="s">
        <v>23</v>
      </c>
      <c r="AG9" t="s">
        <v>25</v>
      </c>
      <c r="AH9" s="5">
        <f t="shared" si="0"/>
        <v>40575</v>
      </c>
    </row>
    <row r="10" spans="1:34" x14ac:dyDescent="0.3">
      <c r="A10">
        <v>0</v>
      </c>
      <c r="B10" s="1">
        <v>45777</v>
      </c>
      <c r="C10" s="2">
        <v>0.47032407407407406</v>
      </c>
      <c r="D10" t="s">
        <v>65</v>
      </c>
      <c r="E10" t="s">
        <v>18</v>
      </c>
      <c r="F10">
        <v>2.11</v>
      </c>
      <c r="G10" t="s">
        <v>19</v>
      </c>
      <c r="H10" t="s">
        <v>20</v>
      </c>
      <c r="I10" s="14">
        <v>556.12</v>
      </c>
      <c r="J10" t="s">
        <v>21</v>
      </c>
      <c r="K10" t="s">
        <v>20</v>
      </c>
      <c r="L10">
        <v>0</v>
      </c>
      <c r="M10" t="s">
        <v>21</v>
      </c>
      <c r="N10" t="s">
        <v>20</v>
      </c>
      <c r="O10">
        <v>0.3896</v>
      </c>
      <c r="P10" t="s">
        <v>21</v>
      </c>
      <c r="Q10" t="s">
        <v>20</v>
      </c>
      <c r="R10">
        <v>5.6000000000000001E-2</v>
      </c>
      <c r="S10" t="s">
        <v>21</v>
      </c>
      <c r="T10" t="s">
        <v>20</v>
      </c>
      <c r="U10">
        <v>2.1070000000000002</v>
      </c>
      <c r="V10" t="s">
        <v>21</v>
      </c>
      <c r="W10" t="s">
        <v>20</v>
      </c>
      <c r="X10">
        <v>1021.1</v>
      </c>
      <c r="Y10" t="s">
        <v>22</v>
      </c>
      <c r="Z10" t="s">
        <v>23</v>
      </c>
      <c r="AA10">
        <v>45.83</v>
      </c>
      <c r="AB10" t="s">
        <v>24</v>
      </c>
      <c r="AC10" t="s">
        <v>23</v>
      </c>
      <c r="AD10">
        <v>58.16</v>
      </c>
      <c r="AE10" t="s">
        <v>24</v>
      </c>
      <c r="AF10" t="s">
        <v>23</v>
      </c>
      <c r="AG10" t="s">
        <v>25</v>
      </c>
      <c r="AH10" s="5">
        <f t="shared" si="0"/>
        <v>40636</v>
      </c>
    </row>
    <row r="12" spans="1:34" ht="23.4" x14ac:dyDescent="0.45">
      <c r="A12" s="3" t="s">
        <v>231</v>
      </c>
      <c r="O12" s="4" t="s">
        <v>232</v>
      </c>
    </row>
    <row r="13" spans="1:34" x14ac:dyDescent="0.3">
      <c r="B13" t="s">
        <v>233</v>
      </c>
      <c r="C13">
        <f>L20</f>
        <v>97.259999999999991</v>
      </c>
      <c r="F13" t="s">
        <v>234</v>
      </c>
      <c r="G13" s="5">
        <f>C15</f>
        <v>0.22777517564402808</v>
      </c>
      <c r="M13" s="5"/>
      <c r="P13" t="s">
        <v>233</v>
      </c>
      <c r="Q13">
        <f>Z20</f>
        <v>2.1199999999999997E-2</v>
      </c>
      <c r="T13" t="s">
        <v>234</v>
      </c>
      <c r="U13" s="5">
        <f>Q15</f>
        <v>5.7923497267759556E-5</v>
      </c>
      <c r="AA13" s="7"/>
    </row>
    <row r="14" spans="1:34" x14ac:dyDescent="0.3">
      <c r="B14" t="s">
        <v>2</v>
      </c>
      <c r="C14" s="5">
        <f>M20</f>
        <v>427</v>
      </c>
      <c r="F14" t="s">
        <v>235</v>
      </c>
      <c r="G14" s="8">
        <v>9.6699999999999998E-3</v>
      </c>
      <c r="M14" s="5"/>
      <c r="P14" t="s">
        <v>2</v>
      </c>
      <c r="Q14" s="5">
        <f>AA20</f>
        <v>366</v>
      </c>
      <c r="T14" t="s">
        <v>235</v>
      </c>
      <c r="U14" s="8">
        <v>9.6699999999999998E-3</v>
      </c>
      <c r="AA14" s="7"/>
    </row>
    <row r="15" spans="1:34" x14ac:dyDescent="0.3">
      <c r="B15" t="s">
        <v>236</v>
      </c>
      <c r="C15" s="5">
        <f>C13/C14</f>
        <v>0.22777517564402808</v>
      </c>
      <c r="F15" t="s">
        <v>237</v>
      </c>
      <c r="G15">
        <f>22.4*10^-3</f>
        <v>2.24E-2</v>
      </c>
      <c r="M15" s="5"/>
      <c r="P15" t="s">
        <v>236</v>
      </c>
      <c r="Q15" s="9">
        <f>Q13/Q14</f>
        <v>5.7923497267759556E-5</v>
      </c>
      <c r="T15" t="s">
        <v>237</v>
      </c>
      <c r="U15">
        <f>22.4*10^-3</f>
        <v>2.24E-2</v>
      </c>
      <c r="AA15" s="7"/>
    </row>
    <row r="16" spans="1:34" x14ac:dyDescent="0.3">
      <c r="F16" s="10" t="s">
        <v>238</v>
      </c>
      <c r="G16" s="10">
        <v>12.8</v>
      </c>
      <c r="H16" t="s">
        <v>239</v>
      </c>
      <c r="I16">
        <f>G16+273</f>
        <v>285.8</v>
      </c>
      <c r="M16" s="5"/>
      <c r="T16" s="10" t="s">
        <v>238</v>
      </c>
      <c r="U16" s="10">
        <v>12.8</v>
      </c>
      <c r="V16" t="s">
        <v>239</v>
      </c>
      <c r="W16">
        <f>U16+273</f>
        <v>285.8</v>
      </c>
      <c r="AA16" s="7"/>
    </row>
    <row r="17" spans="6:27" x14ac:dyDescent="0.3">
      <c r="F17" t="s">
        <v>240</v>
      </c>
      <c r="G17">
        <v>273</v>
      </c>
      <c r="M17" s="5"/>
      <c r="T17" t="s">
        <v>240</v>
      </c>
      <c r="U17">
        <v>273</v>
      </c>
      <c r="AA17" s="7"/>
    </row>
    <row r="18" spans="6:27" x14ac:dyDescent="0.3">
      <c r="F18" t="s">
        <v>241</v>
      </c>
      <c r="G18">
        <v>3.1399999999999997E-2</v>
      </c>
      <c r="M18" s="5"/>
      <c r="T18" t="s">
        <v>241</v>
      </c>
      <c r="U18">
        <v>3.1399999999999997E-2</v>
      </c>
      <c r="AA18" s="7"/>
    </row>
    <row r="19" spans="6:27" x14ac:dyDescent="0.3">
      <c r="L19" s="14" t="s">
        <v>247</v>
      </c>
      <c r="M19" s="15" t="s">
        <v>248</v>
      </c>
      <c r="Z19" s="14" t="s">
        <v>249</v>
      </c>
      <c r="AA19" s="16" t="s">
        <v>248</v>
      </c>
    </row>
    <row r="20" spans="6:27" x14ac:dyDescent="0.3">
      <c r="F20" t="s">
        <v>242</v>
      </c>
      <c r="G20">
        <f>G17/I16</f>
        <v>0.95521343596920916</v>
      </c>
      <c r="L20">
        <f>I10-I3</f>
        <v>97.259999999999991</v>
      </c>
      <c r="M20" s="7">
        <f>AH10-AH3</f>
        <v>427</v>
      </c>
      <c r="T20" t="s">
        <v>242</v>
      </c>
      <c r="U20">
        <f>U17/W16</f>
        <v>0.95521343596920916</v>
      </c>
      <c r="Z20">
        <f>O9-O3</f>
        <v>2.1199999999999997E-2</v>
      </c>
      <c r="AA20" s="7">
        <f>AH9-AH3</f>
        <v>366</v>
      </c>
    </row>
    <row r="21" spans="6:27" x14ac:dyDescent="0.3">
      <c r="F21" t="s">
        <v>243</v>
      </c>
      <c r="G21">
        <f>1/G18</f>
        <v>31.847133757961785</v>
      </c>
      <c r="M21" s="11">
        <f>M20/60</f>
        <v>7.1166666666666663</v>
      </c>
      <c r="T21" t="s">
        <v>243</v>
      </c>
      <c r="U21">
        <f>1/U18</f>
        <v>31.847133757961785</v>
      </c>
      <c r="AA21" s="11"/>
    </row>
    <row r="22" spans="6:27" x14ac:dyDescent="0.3">
      <c r="F22" t="s">
        <v>244</v>
      </c>
      <c r="G22">
        <f>G15/G20</f>
        <v>2.3450256410256411E-2</v>
      </c>
      <c r="T22" t="s">
        <v>244</v>
      </c>
      <c r="U22">
        <f>U15/U20</f>
        <v>2.3450256410256411E-2</v>
      </c>
      <c r="AA22" s="7"/>
    </row>
    <row r="23" spans="6:27" x14ac:dyDescent="0.3">
      <c r="L23" s="6">
        <f>(L20/M20)*(G14/G15)/G18</f>
        <v>3.1315200586865215</v>
      </c>
      <c r="Z23" s="6">
        <f>(Z20/AA20)*(U14/U15)/U18</f>
        <v>7.9634926435855752E-4</v>
      </c>
      <c r="AA23" s="7"/>
    </row>
    <row r="24" spans="6:27" x14ac:dyDescent="0.3">
      <c r="F24" s="10">
        <f>(G13)*(G14/G22)*(G21)</f>
        <v>2.991270035064451</v>
      </c>
      <c r="T24" s="10">
        <f>(U13)*(U14/U22)*(U21)</f>
        <v>7.6068351703948963E-4</v>
      </c>
      <c r="AA24" s="7"/>
    </row>
    <row r="26" spans="6:27" x14ac:dyDescent="0.3">
      <c r="Y26" s="12" t="s">
        <v>245</v>
      </c>
      <c r="Z26" s="12">
        <f>Z23*298</f>
        <v>0.23731208077885013</v>
      </c>
      <c r="AA26" s="7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9BFE7-2B58-4D1F-B328-9794EFBCE5A0}">
  <dimension ref="A1:AH28"/>
  <sheetViews>
    <sheetView topLeftCell="F16" workbookViewId="0">
      <selection activeCell="Z28" sqref="Z28"/>
    </sheetView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</v>
      </c>
      <c r="K1" t="s">
        <v>7</v>
      </c>
      <c r="L1" t="s">
        <v>9</v>
      </c>
      <c r="M1" t="s">
        <v>6</v>
      </c>
      <c r="N1" t="s">
        <v>7</v>
      </c>
      <c r="O1" t="s">
        <v>10</v>
      </c>
      <c r="P1" t="s">
        <v>6</v>
      </c>
      <c r="Q1" t="s">
        <v>7</v>
      </c>
      <c r="R1" t="s">
        <v>11</v>
      </c>
      <c r="S1" t="s">
        <v>6</v>
      </c>
      <c r="T1" t="s">
        <v>7</v>
      </c>
      <c r="U1" t="s">
        <v>12</v>
      </c>
      <c r="V1" t="s">
        <v>6</v>
      </c>
      <c r="W1" t="s">
        <v>7</v>
      </c>
      <c r="X1" t="s">
        <v>13</v>
      </c>
      <c r="Y1" t="s">
        <v>6</v>
      </c>
      <c r="Z1" t="s">
        <v>7</v>
      </c>
      <c r="AA1" t="s">
        <v>14</v>
      </c>
      <c r="AB1" t="s">
        <v>6</v>
      </c>
      <c r="AC1" t="s">
        <v>7</v>
      </c>
      <c r="AD1" t="s">
        <v>15</v>
      </c>
      <c r="AE1" t="s">
        <v>6</v>
      </c>
      <c r="AF1" t="s">
        <v>7</v>
      </c>
      <c r="AG1" t="s">
        <v>16</v>
      </c>
      <c r="AH1" t="s">
        <v>251</v>
      </c>
    </row>
    <row r="2" spans="1:34" x14ac:dyDescent="0.3">
      <c r="A2">
        <v>0</v>
      </c>
      <c r="B2" s="1">
        <v>45777</v>
      </c>
      <c r="C2" s="2">
        <v>0.47238425925925925</v>
      </c>
      <c r="D2" t="s">
        <v>66</v>
      </c>
      <c r="E2" t="s">
        <v>18</v>
      </c>
      <c r="F2">
        <v>1.81</v>
      </c>
      <c r="G2" t="s">
        <v>19</v>
      </c>
      <c r="H2" t="s">
        <v>20</v>
      </c>
      <c r="I2">
        <v>481.67</v>
      </c>
      <c r="J2" t="s">
        <v>21</v>
      </c>
      <c r="K2" t="s">
        <v>20</v>
      </c>
      <c r="L2">
        <v>0.108</v>
      </c>
      <c r="M2" t="s">
        <v>21</v>
      </c>
      <c r="N2" t="s">
        <v>20</v>
      </c>
      <c r="O2">
        <v>0.37659999999999999</v>
      </c>
      <c r="P2" t="s">
        <v>21</v>
      </c>
      <c r="Q2" t="s">
        <v>20</v>
      </c>
      <c r="R2">
        <v>7.0000000000000001E-3</v>
      </c>
      <c r="S2" t="s">
        <v>21</v>
      </c>
      <c r="T2" t="s">
        <v>20</v>
      </c>
      <c r="U2">
        <v>2.129</v>
      </c>
      <c r="V2" t="s">
        <v>21</v>
      </c>
      <c r="W2" t="s">
        <v>20</v>
      </c>
      <c r="X2">
        <v>1021.1</v>
      </c>
      <c r="Y2" t="s">
        <v>22</v>
      </c>
      <c r="Z2" t="s">
        <v>23</v>
      </c>
      <c r="AA2">
        <v>46.43</v>
      </c>
      <c r="AB2" t="s">
        <v>24</v>
      </c>
      <c r="AC2" t="s">
        <v>23</v>
      </c>
      <c r="AD2">
        <v>58.44</v>
      </c>
      <c r="AE2" t="s">
        <v>24</v>
      </c>
      <c r="AF2" t="s">
        <v>23</v>
      </c>
      <c r="AG2" t="s">
        <v>25</v>
      </c>
      <c r="AH2" s="5">
        <f>HOUR(C2)*3600 + MINUTE(C2)*60 + SECOND(C2)</f>
        <v>40814</v>
      </c>
    </row>
    <row r="3" spans="1:34" x14ac:dyDescent="0.3">
      <c r="A3">
        <v>0</v>
      </c>
      <c r="B3" s="1">
        <v>45777</v>
      </c>
      <c r="C3" s="2">
        <v>0.47309027777777779</v>
      </c>
      <c r="D3" t="s">
        <v>67</v>
      </c>
      <c r="E3" t="s">
        <v>18</v>
      </c>
      <c r="F3">
        <v>1.77</v>
      </c>
      <c r="G3" t="s">
        <v>19</v>
      </c>
      <c r="H3" t="s">
        <v>20</v>
      </c>
      <c r="I3" s="14">
        <v>478.22</v>
      </c>
      <c r="J3" t="s">
        <v>21</v>
      </c>
      <c r="K3" t="s">
        <v>20</v>
      </c>
      <c r="L3">
        <v>0.17299999999999999</v>
      </c>
      <c r="M3" t="s">
        <v>21</v>
      </c>
      <c r="N3" t="s">
        <v>20</v>
      </c>
      <c r="O3" s="14">
        <v>0.38600000000000001</v>
      </c>
      <c r="P3" t="s">
        <v>21</v>
      </c>
      <c r="Q3" t="s">
        <v>20</v>
      </c>
      <c r="R3">
        <v>3.9E-2</v>
      </c>
      <c r="S3" t="s">
        <v>21</v>
      </c>
      <c r="T3" t="s">
        <v>20</v>
      </c>
      <c r="U3">
        <v>2.1269999999999998</v>
      </c>
      <c r="V3" t="s">
        <v>21</v>
      </c>
      <c r="W3" t="s">
        <v>20</v>
      </c>
      <c r="X3">
        <v>1021</v>
      </c>
      <c r="Y3" t="s">
        <v>22</v>
      </c>
      <c r="Z3" t="s">
        <v>23</v>
      </c>
      <c r="AA3">
        <v>46.4</v>
      </c>
      <c r="AB3" t="s">
        <v>24</v>
      </c>
      <c r="AC3" t="s">
        <v>23</v>
      </c>
      <c r="AD3">
        <v>58.42</v>
      </c>
      <c r="AE3" t="s">
        <v>24</v>
      </c>
      <c r="AF3" t="s">
        <v>23</v>
      </c>
      <c r="AG3" t="s">
        <v>25</v>
      </c>
      <c r="AH3" s="5">
        <f t="shared" ref="AH3:AH11" si="0">HOUR(C3)*3600 + MINUTE(C3)*60 + SECOND(C3)</f>
        <v>40875</v>
      </c>
    </row>
    <row r="4" spans="1:34" x14ac:dyDescent="0.3">
      <c r="A4">
        <v>0</v>
      </c>
      <c r="B4" s="1">
        <v>45777</v>
      </c>
      <c r="C4" s="2">
        <v>0.47379629629629627</v>
      </c>
      <c r="D4" t="s">
        <v>68</v>
      </c>
      <c r="E4" t="s">
        <v>18</v>
      </c>
      <c r="F4">
        <v>1.82</v>
      </c>
      <c r="G4" t="s">
        <v>19</v>
      </c>
      <c r="H4" t="s">
        <v>20</v>
      </c>
      <c r="I4" s="14">
        <v>494.51</v>
      </c>
      <c r="J4" t="s">
        <v>21</v>
      </c>
      <c r="K4" t="s">
        <v>20</v>
      </c>
      <c r="L4">
        <v>0.182</v>
      </c>
      <c r="M4" t="s">
        <v>21</v>
      </c>
      <c r="N4" t="s">
        <v>20</v>
      </c>
      <c r="O4" s="14">
        <v>0.38519999999999999</v>
      </c>
      <c r="P4" t="s">
        <v>21</v>
      </c>
      <c r="Q4" t="s">
        <v>20</v>
      </c>
      <c r="R4">
        <v>8.9999999999999993E-3</v>
      </c>
      <c r="S4" t="s">
        <v>21</v>
      </c>
      <c r="T4" t="s">
        <v>20</v>
      </c>
      <c r="U4">
        <v>2.1179999999999999</v>
      </c>
      <c r="V4" t="s">
        <v>21</v>
      </c>
      <c r="W4" t="s">
        <v>20</v>
      </c>
      <c r="X4">
        <v>1021.1</v>
      </c>
      <c r="Y4" t="s">
        <v>22</v>
      </c>
      <c r="Z4" t="s">
        <v>23</v>
      </c>
      <c r="AA4">
        <v>46.61</v>
      </c>
      <c r="AB4" t="s">
        <v>24</v>
      </c>
      <c r="AC4" t="s">
        <v>23</v>
      </c>
      <c r="AD4">
        <v>58.39</v>
      </c>
      <c r="AE4" t="s">
        <v>24</v>
      </c>
      <c r="AF4" t="s">
        <v>23</v>
      </c>
      <c r="AG4" t="s">
        <v>25</v>
      </c>
      <c r="AH4" s="5">
        <f t="shared" si="0"/>
        <v>40936</v>
      </c>
    </row>
    <row r="5" spans="1:34" x14ac:dyDescent="0.3">
      <c r="A5">
        <v>0</v>
      </c>
      <c r="B5" s="1">
        <v>45777</v>
      </c>
      <c r="C5" s="2">
        <v>0.47450231481481481</v>
      </c>
      <c r="D5" t="s">
        <v>69</v>
      </c>
      <c r="E5" t="s">
        <v>18</v>
      </c>
      <c r="F5">
        <v>1.87</v>
      </c>
      <c r="G5" t="s">
        <v>19</v>
      </c>
      <c r="H5" t="s">
        <v>20</v>
      </c>
      <c r="I5" s="14">
        <v>511.7</v>
      </c>
      <c r="J5" t="s">
        <v>21</v>
      </c>
      <c r="K5" t="s">
        <v>20</v>
      </c>
      <c r="L5">
        <v>0.18099999999999999</v>
      </c>
      <c r="M5" t="s">
        <v>21</v>
      </c>
      <c r="N5" t="s">
        <v>20</v>
      </c>
      <c r="O5" s="14">
        <v>0.39229999999999998</v>
      </c>
      <c r="P5" t="s">
        <v>21</v>
      </c>
      <c r="Q5" t="s">
        <v>20</v>
      </c>
      <c r="R5">
        <v>2.5000000000000001E-2</v>
      </c>
      <c r="S5" t="s">
        <v>21</v>
      </c>
      <c r="T5" t="s">
        <v>20</v>
      </c>
      <c r="U5">
        <v>2.1219999999999999</v>
      </c>
      <c r="V5" t="s">
        <v>21</v>
      </c>
      <c r="W5" t="s">
        <v>20</v>
      </c>
      <c r="X5">
        <v>1020.9</v>
      </c>
      <c r="Y5" t="s">
        <v>22</v>
      </c>
      <c r="Z5" t="s">
        <v>23</v>
      </c>
      <c r="AA5">
        <v>46.86</v>
      </c>
      <c r="AB5" t="s">
        <v>24</v>
      </c>
      <c r="AC5" t="s">
        <v>23</v>
      </c>
      <c r="AD5">
        <v>58.39</v>
      </c>
      <c r="AE5" t="s">
        <v>24</v>
      </c>
      <c r="AF5" t="s">
        <v>23</v>
      </c>
      <c r="AG5" t="s">
        <v>25</v>
      </c>
      <c r="AH5" s="5">
        <f t="shared" si="0"/>
        <v>40997</v>
      </c>
    </row>
    <row r="6" spans="1:34" x14ac:dyDescent="0.3">
      <c r="A6">
        <v>0</v>
      </c>
      <c r="B6" s="1">
        <v>45777</v>
      </c>
      <c r="C6" s="2">
        <v>0.47520833333333334</v>
      </c>
      <c r="D6" t="s">
        <v>70</v>
      </c>
      <c r="E6" t="s">
        <v>18</v>
      </c>
      <c r="F6">
        <v>1.92</v>
      </c>
      <c r="G6" t="s">
        <v>19</v>
      </c>
      <c r="H6" t="s">
        <v>20</v>
      </c>
      <c r="I6" s="14">
        <v>527.86</v>
      </c>
      <c r="J6" t="s">
        <v>21</v>
      </c>
      <c r="K6" t="s">
        <v>20</v>
      </c>
      <c r="L6">
        <v>0.221</v>
      </c>
      <c r="M6" t="s">
        <v>21</v>
      </c>
      <c r="N6" t="s">
        <v>20</v>
      </c>
      <c r="O6" s="14">
        <v>0.39660000000000001</v>
      </c>
      <c r="P6" t="s">
        <v>21</v>
      </c>
      <c r="Q6" t="s">
        <v>20</v>
      </c>
      <c r="R6">
        <v>7.0000000000000001E-3</v>
      </c>
      <c r="S6" t="s">
        <v>21</v>
      </c>
      <c r="T6" t="s">
        <v>20</v>
      </c>
      <c r="U6">
        <v>2.1269999999999998</v>
      </c>
      <c r="V6" t="s">
        <v>21</v>
      </c>
      <c r="W6" t="s">
        <v>20</v>
      </c>
      <c r="X6">
        <v>1021</v>
      </c>
      <c r="Y6" t="s">
        <v>22</v>
      </c>
      <c r="Z6" t="s">
        <v>23</v>
      </c>
      <c r="AA6">
        <v>47.33</v>
      </c>
      <c r="AB6" t="s">
        <v>24</v>
      </c>
      <c r="AC6" t="s">
        <v>23</v>
      </c>
      <c r="AD6">
        <v>58.55</v>
      </c>
      <c r="AE6" t="s">
        <v>24</v>
      </c>
      <c r="AF6" t="s">
        <v>23</v>
      </c>
      <c r="AG6" t="s">
        <v>25</v>
      </c>
      <c r="AH6" s="5">
        <f t="shared" si="0"/>
        <v>41058</v>
      </c>
    </row>
    <row r="7" spans="1:34" x14ac:dyDescent="0.3">
      <c r="A7">
        <v>0</v>
      </c>
      <c r="B7" s="1">
        <v>45777</v>
      </c>
      <c r="C7" s="2">
        <v>0.47591435185185182</v>
      </c>
      <c r="D7" t="s">
        <v>71</v>
      </c>
      <c r="E7" t="s">
        <v>18</v>
      </c>
      <c r="F7">
        <v>1.97</v>
      </c>
      <c r="G7" t="s">
        <v>19</v>
      </c>
      <c r="H7" t="s">
        <v>20</v>
      </c>
      <c r="I7" s="14">
        <v>545.98</v>
      </c>
      <c r="J7" t="s">
        <v>21</v>
      </c>
      <c r="K7" t="s">
        <v>20</v>
      </c>
      <c r="L7">
        <v>0.20399999999999999</v>
      </c>
      <c r="M7" t="s">
        <v>21</v>
      </c>
      <c r="N7" t="s">
        <v>20</v>
      </c>
      <c r="O7" s="14">
        <v>0.39839999999999998</v>
      </c>
      <c r="P7" t="s">
        <v>21</v>
      </c>
      <c r="Q7" t="s">
        <v>20</v>
      </c>
      <c r="R7">
        <v>1.0999999999999999E-2</v>
      </c>
      <c r="S7" t="s">
        <v>21</v>
      </c>
      <c r="T7" t="s">
        <v>20</v>
      </c>
      <c r="U7">
        <v>2.1339999999999999</v>
      </c>
      <c r="V7" t="s">
        <v>21</v>
      </c>
      <c r="W7" t="s">
        <v>20</v>
      </c>
      <c r="X7">
        <v>1021.1</v>
      </c>
      <c r="Y7" t="s">
        <v>22</v>
      </c>
      <c r="Z7" t="s">
        <v>23</v>
      </c>
      <c r="AA7">
        <v>47.76</v>
      </c>
      <c r="AB7" t="s">
        <v>24</v>
      </c>
      <c r="AC7" t="s">
        <v>23</v>
      </c>
      <c r="AD7">
        <v>58.79</v>
      </c>
      <c r="AE7" t="s">
        <v>24</v>
      </c>
      <c r="AF7" t="s">
        <v>23</v>
      </c>
      <c r="AG7" t="s">
        <v>25</v>
      </c>
      <c r="AH7" s="5">
        <f t="shared" si="0"/>
        <v>41119</v>
      </c>
    </row>
    <row r="8" spans="1:34" x14ac:dyDescent="0.3">
      <c r="A8">
        <v>0</v>
      </c>
      <c r="B8" s="1">
        <v>45777</v>
      </c>
      <c r="C8" s="2">
        <v>0.47663194444444446</v>
      </c>
      <c r="D8" t="s">
        <v>72</v>
      </c>
      <c r="E8" t="s">
        <v>18</v>
      </c>
      <c r="F8">
        <v>2.02</v>
      </c>
      <c r="G8" t="s">
        <v>19</v>
      </c>
      <c r="H8" t="s">
        <v>20</v>
      </c>
      <c r="I8" s="14">
        <v>561.88</v>
      </c>
      <c r="J8" t="s">
        <v>21</v>
      </c>
      <c r="K8" t="s">
        <v>20</v>
      </c>
      <c r="L8">
        <v>0.21</v>
      </c>
      <c r="M8" t="s">
        <v>21</v>
      </c>
      <c r="N8" t="s">
        <v>20</v>
      </c>
      <c r="O8" s="14">
        <v>0.3972</v>
      </c>
      <c r="P8" t="s">
        <v>21</v>
      </c>
      <c r="Q8" t="s">
        <v>20</v>
      </c>
      <c r="R8">
        <v>3.7999999999999999E-2</v>
      </c>
      <c r="S8" t="s">
        <v>21</v>
      </c>
      <c r="T8" t="s">
        <v>20</v>
      </c>
      <c r="U8">
        <v>2.1280000000000001</v>
      </c>
      <c r="V8" t="s">
        <v>21</v>
      </c>
      <c r="W8" t="s">
        <v>20</v>
      </c>
      <c r="X8">
        <v>1021.1</v>
      </c>
      <c r="Y8" t="s">
        <v>22</v>
      </c>
      <c r="Z8" t="s">
        <v>23</v>
      </c>
      <c r="AA8">
        <v>48.29</v>
      </c>
      <c r="AB8" t="s">
        <v>24</v>
      </c>
      <c r="AC8" t="s">
        <v>23</v>
      </c>
      <c r="AD8">
        <v>59</v>
      </c>
      <c r="AE8" t="s">
        <v>24</v>
      </c>
      <c r="AF8" t="s">
        <v>23</v>
      </c>
      <c r="AG8" t="s">
        <v>25</v>
      </c>
      <c r="AH8" s="5">
        <f t="shared" si="0"/>
        <v>41181</v>
      </c>
    </row>
    <row r="9" spans="1:34" x14ac:dyDescent="0.3">
      <c r="A9">
        <v>0</v>
      </c>
      <c r="B9" s="1">
        <v>45777</v>
      </c>
      <c r="C9" s="2">
        <v>0.47733796296296294</v>
      </c>
      <c r="D9" t="s">
        <v>73</v>
      </c>
      <c r="E9" t="s">
        <v>18</v>
      </c>
      <c r="F9">
        <v>2.0699999999999998</v>
      </c>
      <c r="G9" t="s">
        <v>19</v>
      </c>
      <c r="H9" t="s">
        <v>20</v>
      </c>
      <c r="I9" s="14">
        <v>577.6</v>
      </c>
      <c r="J9" t="s">
        <v>21</v>
      </c>
      <c r="K9" t="s">
        <v>20</v>
      </c>
      <c r="L9">
        <v>0.24099999999999999</v>
      </c>
      <c r="M9" t="s">
        <v>21</v>
      </c>
      <c r="N9" t="s">
        <v>20</v>
      </c>
      <c r="O9" s="14">
        <v>0.41060000000000002</v>
      </c>
      <c r="P9" t="s">
        <v>21</v>
      </c>
      <c r="Q9" t="s">
        <v>20</v>
      </c>
      <c r="R9">
        <v>4.1000000000000002E-2</v>
      </c>
      <c r="S9" t="s">
        <v>21</v>
      </c>
      <c r="T9" t="s">
        <v>20</v>
      </c>
      <c r="U9">
        <v>2.129</v>
      </c>
      <c r="V9" t="s">
        <v>21</v>
      </c>
      <c r="W9" t="s">
        <v>20</v>
      </c>
      <c r="X9">
        <v>1021.1</v>
      </c>
      <c r="Y9" t="s">
        <v>22</v>
      </c>
      <c r="Z9" t="s">
        <v>23</v>
      </c>
      <c r="AA9">
        <v>48.68</v>
      </c>
      <c r="AB9" t="s">
        <v>24</v>
      </c>
      <c r="AC9" t="s">
        <v>23</v>
      </c>
      <c r="AD9">
        <v>59.25</v>
      </c>
      <c r="AE9" t="s">
        <v>24</v>
      </c>
      <c r="AF9" t="s">
        <v>23</v>
      </c>
      <c r="AG9" t="s">
        <v>25</v>
      </c>
      <c r="AH9" s="5">
        <f t="shared" si="0"/>
        <v>41242</v>
      </c>
    </row>
    <row r="10" spans="1:34" x14ac:dyDescent="0.3">
      <c r="A10">
        <v>0</v>
      </c>
      <c r="B10" s="1">
        <v>45777</v>
      </c>
      <c r="C10" s="2">
        <v>0.47804398148148147</v>
      </c>
      <c r="D10" t="s">
        <v>74</v>
      </c>
      <c r="E10" t="s">
        <v>18</v>
      </c>
      <c r="F10">
        <v>2.12</v>
      </c>
      <c r="G10" t="s">
        <v>19</v>
      </c>
      <c r="H10" t="s">
        <v>20</v>
      </c>
      <c r="I10" s="14">
        <v>594.57000000000005</v>
      </c>
      <c r="J10" t="s">
        <v>21</v>
      </c>
      <c r="K10" t="s">
        <v>20</v>
      </c>
      <c r="L10">
        <v>0.252</v>
      </c>
      <c r="M10" t="s">
        <v>21</v>
      </c>
      <c r="N10" t="s">
        <v>20</v>
      </c>
      <c r="O10" s="14">
        <v>0.40610000000000002</v>
      </c>
      <c r="P10" t="s">
        <v>21</v>
      </c>
      <c r="Q10" t="s">
        <v>20</v>
      </c>
      <c r="R10">
        <v>6.0999999999999999E-2</v>
      </c>
      <c r="S10" t="s">
        <v>21</v>
      </c>
      <c r="T10" t="s">
        <v>20</v>
      </c>
      <c r="U10">
        <v>2.121</v>
      </c>
      <c r="V10" t="s">
        <v>21</v>
      </c>
      <c r="W10" t="s">
        <v>20</v>
      </c>
      <c r="X10">
        <v>1021.1</v>
      </c>
      <c r="Y10" t="s">
        <v>22</v>
      </c>
      <c r="Z10" t="s">
        <v>23</v>
      </c>
      <c r="AA10">
        <v>49.06</v>
      </c>
      <c r="AB10" t="s">
        <v>24</v>
      </c>
      <c r="AC10" t="s">
        <v>23</v>
      </c>
      <c r="AD10">
        <v>59.47</v>
      </c>
      <c r="AE10" t="s">
        <v>24</v>
      </c>
      <c r="AF10" t="s">
        <v>23</v>
      </c>
      <c r="AG10" t="s">
        <v>25</v>
      </c>
      <c r="AH10" s="5">
        <f t="shared" si="0"/>
        <v>41303</v>
      </c>
    </row>
    <row r="11" spans="1:34" x14ac:dyDescent="0.3">
      <c r="A11">
        <v>0</v>
      </c>
      <c r="B11" s="1">
        <v>45777</v>
      </c>
      <c r="C11" s="2">
        <v>0.47875000000000001</v>
      </c>
      <c r="D11" t="s">
        <v>75</v>
      </c>
      <c r="E11" t="s">
        <v>18</v>
      </c>
      <c r="F11">
        <v>2.16</v>
      </c>
      <c r="G11" t="s">
        <v>19</v>
      </c>
      <c r="H11" t="s">
        <v>20</v>
      </c>
      <c r="I11" s="14">
        <v>610.27</v>
      </c>
      <c r="J11" t="s">
        <v>21</v>
      </c>
      <c r="K11" t="s">
        <v>20</v>
      </c>
      <c r="L11">
        <v>0.28599999999999998</v>
      </c>
      <c r="M11" t="s">
        <v>21</v>
      </c>
      <c r="N11" t="s">
        <v>20</v>
      </c>
      <c r="O11" s="14">
        <v>0.41099999999999998</v>
      </c>
      <c r="P11" t="s">
        <v>21</v>
      </c>
      <c r="Q11" t="s">
        <v>20</v>
      </c>
      <c r="R11">
        <v>9.5000000000000001E-2</v>
      </c>
      <c r="S11" t="s">
        <v>21</v>
      </c>
      <c r="T11" t="s">
        <v>20</v>
      </c>
      <c r="U11">
        <v>2.1349999999999998</v>
      </c>
      <c r="V11" t="s">
        <v>21</v>
      </c>
      <c r="W11" t="s">
        <v>20</v>
      </c>
      <c r="X11">
        <v>1021</v>
      </c>
      <c r="Y11" t="s">
        <v>22</v>
      </c>
      <c r="Z11" t="s">
        <v>23</v>
      </c>
      <c r="AA11">
        <v>49.48</v>
      </c>
      <c r="AB11" t="s">
        <v>24</v>
      </c>
      <c r="AC11" t="s">
        <v>23</v>
      </c>
      <c r="AD11">
        <v>59.72</v>
      </c>
      <c r="AE11" t="s">
        <v>24</v>
      </c>
      <c r="AF11" t="s">
        <v>23</v>
      </c>
      <c r="AG11" t="s">
        <v>25</v>
      </c>
      <c r="AH11" s="5">
        <f t="shared" si="0"/>
        <v>41364</v>
      </c>
    </row>
    <row r="14" spans="1:34" ht="23.4" x14ac:dyDescent="0.45">
      <c r="A14" s="3" t="s">
        <v>231</v>
      </c>
      <c r="O14" s="4" t="s">
        <v>232</v>
      </c>
    </row>
    <row r="15" spans="1:34" x14ac:dyDescent="0.3">
      <c r="B15" t="s">
        <v>233</v>
      </c>
      <c r="C15">
        <f>L22</f>
        <v>132.04999999999995</v>
      </c>
      <c r="F15" t="s">
        <v>234</v>
      </c>
      <c r="G15" s="5">
        <f>C17</f>
        <v>0.27004089979550094</v>
      </c>
      <c r="M15" s="5"/>
      <c r="P15" t="s">
        <v>233</v>
      </c>
      <c r="Q15">
        <f>Z22</f>
        <v>2.4999999999999967E-2</v>
      </c>
      <c r="T15" t="s">
        <v>234</v>
      </c>
      <c r="U15" s="5">
        <f>Q17</f>
        <v>5.8411214953270949E-5</v>
      </c>
      <c r="AA15" s="7"/>
    </row>
    <row r="16" spans="1:34" x14ac:dyDescent="0.3">
      <c r="B16" t="s">
        <v>2</v>
      </c>
      <c r="C16" s="5">
        <f>M22</f>
        <v>489</v>
      </c>
      <c r="F16" t="s">
        <v>235</v>
      </c>
      <c r="G16" s="8">
        <v>9.6699999999999998E-3</v>
      </c>
      <c r="M16" s="5"/>
      <c r="P16" t="s">
        <v>2</v>
      </c>
      <c r="Q16" s="5">
        <f>AA22</f>
        <v>428</v>
      </c>
      <c r="T16" t="s">
        <v>235</v>
      </c>
      <c r="U16" s="8">
        <v>9.6699999999999998E-3</v>
      </c>
      <c r="AA16" s="7"/>
    </row>
    <row r="17" spans="2:27" x14ac:dyDescent="0.3">
      <c r="B17" t="s">
        <v>236</v>
      </c>
      <c r="C17" s="5">
        <f>C15/C16</f>
        <v>0.27004089979550094</v>
      </c>
      <c r="F17" t="s">
        <v>237</v>
      </c>
      <c r="G17">
        <f>22.4*10^-3</f>
        <v>2.24E-2</v>
      </c>
      <c r="M17" s="5"/>
      <c r="P17" t="s">
        <v>236</v>
      </c>
      <c r="Q17" s="9">
        <f>Q15/Q16</f>
        <v>5.8411214953270949E-5</v>
      </c>
      <c r="T17" t="s">
        <v>237</v>
      </c>
      <c r="U17">
        <f>22.4*10^-3</f>
        <v>2.24E-2</v>
      </c>
      <c r="AA17" s="7"/>
    </row>
    <row r="18" spans="2:27" x14ac:dyDescent="0.3">
      <c r="F18" s="10" t="s">
        <v>238</v>
      </c>
      <c r="G18" s="10">
        <v>12.8</v>
      </c>
      <c r="H18" t="s">
        <v>239</v>
      </c>
      <c r="I18">
        <f>G18+273</f>
        <v>285.8</v>
      </c>
      <c r="M18" s="5"/>
      <c r="T18" s="10" t="s">
        <v>238</v>
      </c>
      <c r="U18" s="10">
        <v>12.8</v>
      </c>
      <c r="V18" t="s">
        <v>239</v>
      </c>
      <c r="W18">
        <f>U18+273</f>
        <v>285.8</v>
      </c>
      <c r="AA18" s="7"/>
    </row>
    <row r="19" spans="2:27" x14ac:dyDescent="0.3">
      <c r="F19" t="s">
        <v>240</v>
      </c>
      <c r="G19">
        <v>273</v>
      </c>
      <c r="M19" s="5"/>
      <c r="T19" t="s">
        <v>240</v>
      </c>
      <c r="U19">
        <v>273</v>
      </c>
      <c r="AA19" s="7"/>
    </row>
    <row r="20" spans="2:27" x14ac:dyDescent="0.3">
      <c r="F20" t="s">
        <v>241</v>
      </c>
      <c r="G20">
        <v>3.1399999999999997E-2</v>
      </c>
      <c r="M20" s="5"/>
      <c r="T20" t="s">
        <v>241</v>
      </c>
      <c r="U20">
        <v>3.1399999999999997E-2</v>
      </c>
      <c r="AA20" s="7"/>
    </row>
    <row r="21" spans="2:27" x14ac:dyDescent="0.3">
      <c r="L21" s="14" t="s">
        <v>247</v>
      </c>
      <c r="M21" s="15" t="s">
        <v>248</v>
      </c>
      <c r="Z21" s="14" t="s">
        <v>249</v>
      </c>
      <c r="AA21" s="16" t="s">
        <v>248</v>
      </c>
    </row>
    <row r="22" spans="2:27" x14ac:dyDescent="0.3">
      <c r="F22" t="s">
        <v>242</v>
      </c>
      <c r="G22">
        <f>G19/I18</f>
        <v>0.95521343596920916</v>
      </c>
      <c r="L22">
        <f>I11-I3</f>
        <v>132.04999999999995</v>
      </c>
      <c r="M22" s="7">
        <f>AH11-AH3</f>
        <v>489</v>
      </c>
      <c r="T22" t="s">
        <v>242</v>
      </c>
      <c r="U22">
        <f>U19/W18</f>
        <v>0.95521343596920916</v>
      </c>
      <c r="Z22">
        <f>O11-O3</f>
        <v>2.4999999999999967E-2</v>
      </c>
      <c r="AA22" s="7">
        <f>AH10-AH3</f>
        <v>428</v>
      </c>
    </row>
    <row r="23" spans="2:27" x14ac:dyDescent="0.3">
      <c r="F23" t="s">
        <v>243</v>
      </c>
      <c r="G23">
        <f>1/G20</f>
        <v>31.847133757961785</v>
      </c>
      <c r="M23" s="11">
        <f>M22/60</f>
        <v>8.15</v>
      </c>
      <c r="T23" t="s">
        <v>243</v>
      </c>
      <c r="U23">
        <f>1/U20</f>
        <v>31.847133757961785</v>
      </c>
      <c r="AA23" s="11"/>
    </row>
    <row r="24" spans="2:27" x14ac:dyDescent="0.3">
      <c r="F24" t="s">
        <v>244</v>
      </c>
      <c r="G24">
        <f>G17/G22</f>
        <v>2.3450256410256411E-2</v>
      </c>
      <c r="T24" t="s">
        <v>244</v>
      </c>
      <c r="U24">
        <f>U17/U22</f>
        <v>2.3450256410256411E-2</v>
      </c>
      <c r="AA24" s="7"/>
    </row>
    <row r="25" spans="2:27" x14ac:dyDescent="0.3">
      <c r="L25" s="6">
        <f>(L22/M22)*(G16/G17)/G20</f>
        <v>3.7126016563672866</v>
      </c>
      <c r="Z25" s="6">
        <f>(Z22/AA22)*(U16/U17)/U20</f>
        <v>8.0305455044092666E-4</v>
      </c>
      <c r="AA25" s="7"/>
    </row>
    <row r="26" spans="2:27" x14ac:dyDescent="0.3">
      <c r="F26" s="10">
        <f>(G15)*(G16/G24)*(G23)</f>
        <v>3.5463269845635725</v>
      </c>
      <c r="T26" s="10">
        <f>(U15)*(U16/U24)*(U23)</f>
        <v>7.6708849639738595E-4</v>
      </c>
      <c r="AA26" s="7"/>
    </row>
    <row r="28" spans="2:27" x14ac:dyDescent="0.3">
      <c r="Y28" s="12" t="s">
        <v>245</v>
      </c>
      <c r="Z28" s="12">
        <f>Z25*298</f>
        <v>0.23931025603139613</v>
      </c>
      <c r="AA28" s="7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E32F0-A08A-493E-B277-02A0BF5A3CEE}">
  <dimension ref="A1:AH26"/>
  <sheetViews>
    <sheetView topLeftCell="I1" workbookViewId="0">
      <selection activeCell="Z26" sqref="Z26"/>
    </sheetView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</v>
      </c>
      <c r="K1" t="s">
        <v>7</v>
      </c>
      <c r="L1" t="s">
        <v>9</v>
      </c>
      <c r="M1" t="s">
        <v>6</v>
      </c>
      <c r="N1" t="s">
        <v>7</v>
      </c>
      <c r="O1" t="s">
        <v>10</v>
      </c>
      <c r="P1" t="s">
        <v>6</v>
      </c>
      <c r="Q1" t="s">
        <v>7</v>
      </c>
      <c r="R1" t="s">
        <v>11</v>
      </c>
      <c r="S1" t="s">
        <v>6</v>
      </c>
      <c r="T1" t="s">
        <v>7</v>
      </c>
      <c r="U1" t="s">
        <v>12</v>
      </c>
      <c r="V1" t="s">
        <v>6</v>
      </c>
      <c r="W1" t="s">
        <v>7</v>
      </c>
      <c r="X1" t="s">
        <v>13</v>
      </c>
      <c r="Y1" t="s">
        <v>6</v>
      </c>
      <c r="Z1" t="s">
        <v>7</v>
      </c>
      <c r="AA1" t="s">
        <v>14</v>
      </c>
      <c r="AB1" t="s">
        <v>6</v>
      </c>
      <c r="AC1" t="s">
        <v>7</v>
      </c>
      <c r="AD1" t="s">
        <v>15</v>
      </c>
      <c r="AE1" t="s">
        <v>6</v>
      </c>
      <c r="AF1" t="s">
        <v>7</v>
      </c>
      <c r="AG1" t="s">
        <v>16</v>
      </c>
      <c r="AH1" t="s">
        <v>252</v>
      </c>
    </row>
    <row r="2" spans="1:34" x14ac:dyDescent="0.3">
      <c r="A2">
        <v>0</v>
      </c>
      <c r="B2" s="1">
        <v>45777</v>
      </c>
      <c r="C2" s="2">
        <v>0.49149305555555556</v>
      </c>
      <c r="D2" t="s">
        <v>76</v>
      </c>
      <c r="E2" t="s">
        <v>18</v>
      </c>
      <c r="F2">
        <v>1.84</v>
      </c>
      <c r="G2" t="s">
        <v>19</v>
      </c>
      <c r="H2" t="s">
        <v>20</v>
      </c>
      <c r="I2">
        <v>488.15</v>
      </c>
      <c r="J2" t="s">
        <v>21</v>
      </c>
      <c r="K2" t="s">
        <v>20</v>
      </c>
      <c r="L2">
        <v>0.58099999999999996</v>
      </c>
      <c r="M2" t="s">
        <v>21</v>
      </c>
      <c r="N2" t="s">
        <v>20</v>
      </c>
      <c r="O2">
        <v>0.37809999999999999</v>
      </c>
      <c r="P2" t="s">
        <v>21</v>
      </c>
      <c r="Q2" t="s">
        <v>20</v>
      </c>
      <c r="R2">
        <v>6.0999999999999999E-2</v>
      </c>
      <c r="S2" t="s">
        <v>21</v>
      </c>
      <c r="T2" t="s">
        <v>20</v>
      </c>
      <c r="U2">
        <v>2.1070000000000002</v>
      </c>
      <c r="V2" t="s">
        <v>21</v>
      </c>
      <c r="W2" t="s">
        <v>20</v>
      </c>
      <c r="X2">
        <v>1020</v>
      </c>
      <c r="Y2" t="s">
        <v>22</v>
      </c>
      <c r="Z2" t="s">
        <v>23</v>
      </c>
      <c r="AA2">
        <v>43.99</v>
      </c>
      <c r="AB2" t="s">
        <v>24</v>
      </c>
      <c r="AC2" t="s">
        <v>23</v>
      </c>
      <c r="AD2">
        <v>50.17</v>
      </c>
      <c r="AE2" t="s">
        <v>24</v>
      </c>
      <c r="AF2" t="s">
        <v>23</v>
      </c>
      <c r="AG2" t="s">
        <v>25</v>
      </c>
      <c r="AH2" s="5">
        <f>HOUR(C2)*3600 + MINUTE(C2)*60 + SECOND(C2)</f>
        <v>42465</v>
      </c>
    </row>
    <row r="3" spans="1:34" x14ac:dyDescent="0.3">
      <c r="A3">
        <v>0</v>
      </c>
      <c r="B3" s="1">
        <v>45777</v>
      </c>
      <c r="C3" s="2">
        <v>0.49219907407407409</v>
      </c>
      <c r="D3" t="s">
        <v>77</v>
      </c>
      <c r="E3" t="s">
        <v>18</v>
      </c>
      <c r="F3">
        <v>1.89</v>
      </c>
      <c r="G3" t="s">
        <v>19</v>
      </c>
      <c r="H3" t="s">
        <v>20</v>
      </c>
      <c r="I3" s="14">
        <v>475.79</v>
      </c>
      <c r="J3" t="s">
        <v>21</v>
      </c>
      <c r="K3" t="s">
        <v>20</v>
      </c>
      <c r="L3">
        <v>0.44400000000000001</v>
      </c>
      <c r="M3" t="s">
        <v>21</v>
      </c>
      <c r="N3" t="s">
        <v>20</v>
      </c>
      <c r="O3">
        <v>0.38519999999999999</v>
      </c>
      <c r="P3" t="s">
        <v>21</v>
      </c>
      <c r="Q3" t="s">
        <v>20</v>
      </c>
      <c r="R3">
        <v>6.2E-2</v>
      </c>
      <c r="S3" t="s">
        <v>21</v>
      </c>
      <c r="T3" t="s">
        <v>20</v>
      </c>
      <c r="U3">
        <v>2.0840000000000001</v>
      </c>
      <c r="V3" t="s">
        <v>21</v>
      </c>
      <c r="W3" t="s">
        <v>20</v>
      </c>
      <c r="X3">
        <v>1020.1</v>
      </c>
      <c r="Y3" t="s">
        <v>22</v>
      </c>
      <c r="Z3" t="s">
        <v>23</v>
      </c>
      <c r="AA3">
        <v>44.54</v>
      </c>
      <c r="AB3" t="s">
        <v>24</v>
      </c>
      <c r="AC3" t="s">
        <v>23</v>
      </c>
      <c r="AD3">
        <v>52.6</v>
      </c>
      <c r="AE3" t="s">
        <v>24</v>
      </c>
      <c r="AF3" t="s">
        <v>23</v>
      </c>
      <c r="AG3" t="s">
        <v>25</v>
      </c>
      <c r="AH3" s="5">
        <f t="shared" ref="AH3:AH9" si="0">HOUR(C3)*3600 + MINUTE(C3)*60 + SECOND(C3)</f>
        <v>42526</v>
      </c>
    </row>
    <row r="4" spans="1:34" x14ac:dyDescent="0.3">
      <c r="A4">
        <v>0</v>
      </c>
      <c r="B4" s="1">
        <v>45777</v>
      </c>
      <c r="C4" s="2">
        <v>0.49290509259259258</v>
      </c>
      <c r="D4" t="s">
        <v>78</v>
      </c>
      <c r="E4" t="s">
        <v>18</v>
      </c>
      <c r="F4">
        <v>1.97</v>
      </c>
      <c r="G4" t="s">
        <v>19</v>
      </c>
      <c r="H4" t="s">
        <v>20</v>
      </c>
      <c r="I4" s="14">
        <v>491.42</v>
      </c>
      <c r="J4" t="s">
        <v>21</v>
      </c>
      <c r="K4" t="s">
        <v>20</v>
      </c>
      <c r="L4">
        <v>0.41699999999999998</v>
      </c>
      <c r="M4" t="s">
        <v>21</v>
      </c>
      <c r="N4" t="s">
        <v>20</v>
      </c>
      <c r="O4" s="14">
        <v>0.38350000000000001</v>
      </c>
      <c r="P4" t="s">
        <v>21</v>
      </c>
      <c r="Q4" t="s">
        <v>20</v>
      </c>
      <c r="R4">
        <v>3.6999999999999998E-2</v>
      </c>
      <c r="S4" t="s">
        <v>21</v>
      </c>
      <c r="T4" t="s">
        <v>20</v>
      </c>
      <c r="U4">
        <v>2.1059999999999999</v>
      </c>
      <c r="V4" t="s">
        <v>21</v>
      </c>
      <c r="W4" t="s">
        <v>20</v>
      </c>
      <c r="X4">
        <v>1020.3</v>
      </c>
      <c r="Y4" t="s">
        <v>22</v>
      </c>
      <c r="Z4" t="s">
        <v>23</v>
      </c>
      <c r="AA4">
        <v>45</v>
      </c>
      <c r="AB4" t="s">
        <v>24</v>
      </c>
      <c r="AC4" t="s">
        <v>23</v>
      </c>
      <c r="AD4">
        <v>54.24</v>
      </c>
      <c r="AE4" t="s">
        <v>24</v>
      </c>
      <c r="AF4" t="s">
        <v>23</v>
      </c>
      <c r="AG4" t="s">
        <v>25</v>
      </c>
      <c r="AH4" s="5">
        <f t="shared" si="0"/>
        <v>42587</v>
      </c>
    </row>
    <row r="5" spans="1:34" x14ac:dyDescent="0.3">
      <c r="A5">
        <v>0</v>
      </c>
      <c r="B5" s="1">
        <v>45777</v>
      </c>
      <c r="C5" s="2">
        <v>0.49361111111111111</v>
      </c>
      <c r="D5" t="s">
        <v>79</v>
      </c>
      <c r="E5" t="s">
        <v>18</v>
      </c>
      <c r="F5">
        <v>2.0699999999999998</v>
      </c>
      <c r="G5" t="s">
        <v>19</v>
      </c>
      <c r="H5" t="s">
        <v>20</v>
      </c>
      <c r="I5" s="14">
        <v>507.11</v>
      </c>
      <c r="J5" t="s">
        <v>21</v>
      </c>
      <c r="K5" t="s">
        <v>20</v>
      </c>
      <c r="L5">
        <v>0.40400000000000003</v>
      </c>
      <c r="M5" t="s">
        <v>21</v>
      </c>
      <c r="N5" t="s">
        <v>20</v>
      </c>
      <c r="O5" s="14">
        <v>0.3911</v>
      </c>
      <c r="P5" t="s">
        <v>21</v>
      </c>
      <c r="Q5" t="s">
        <v>20</v>
      </c>
      <c r="R5">
        <v>7.4999999999999997E-2</v>
      </c>
      <c r="S5" t="s">
        <v>21</v>
      </c>
      <c r="T5" t="s">
        <v>20</v>
      </c>
      <c r="U5">
        <v>2.105</v>
      </c>
      <c r="V5" t="s">
        <v>21</v>
      </c>
      <c r="W5" t="s">
        <v>20</v>
      </c>
      <c r="X5">
        <v>1020.4</v>
      </c>
      <c r="Y5" t="s">
        <v>22</v>
      </c>
      <c r="Z5" t="s">
        <v>23</v>
      </c>
      <c r="AA5">
        <v>46.06</v>
      </c>
      <c r="AB5" t="s">
        <v>24</v>
      </c>
      <c r="AC5" t="s">
        <v>23</v>
      </c>
      <c r="AD5">
        <v>55.41</v>
      </c>
      <c r="AE5" t="s">
        <v>24</v>
      </c>
      <c r="AF5" t="s">
        <v>23</v>
      </c>
      <c r="AG5" t="s">
        <v>25</v>
      </c>
      <c r="AH5" s="5">
        <f t="shared" si="0"/>
        <v>42648</v>
      </c>
    </row>
    <row r="6" spans="1:34" x14ac:dyDescent="0.3">
      <c r="A6">
        <v>0</v>
      </c>
      <c r="B6" s="1">
        <v>45777</v>
      </c>
      <c r="C6" s="2">
        <v>0.49431712962962965</v>
      </c>
      <c r="D6" t="s">
        <v>80</v>
      </c>
      <c r="E6" t="s">
        <v>18</v>
      </c>
      <c r="F6">
        <v>2.15</v>
      </c>
      <c r="G6" t="s">
        <v>19</v>
      </c>
      <c r="H6" t="s">
        <v>20</v>
      </c>
      <c r="I6" s="14">
        <v>525.17999999999995</v>
      </c>
      <c r="J6" t="s">
        <v>21</v>
      </c>
      <c r="K6" t="s">
        <v>20</v>
      </c>
      <c r="L6">
        <v>0.40799999999999997</v>
      </c>
      <c r="M6" t="s">
        <v>21</v>
      </c>
      <c r="N6" t="s">
        <v>20</v>
      </c>
      <c r="O6" s="14">
        <v>0.39639999999999997</v>
      </c>
      <c r="P6" t="s">
        <v>21</v>
      </c>
      <c r="Q6" t="s">
        <v>20</v>
      </c>
      <c r="R6">
        <v>7.5999999999999998E-2</v>
      </c>
      <c r="S6" t="s">
        <v>21</v>
      </c>
      <c r="T6" t="s">
        <v>20</v>
      </c>
      <c r="U6">
        <v>2.1110000000000002</v>
      </c>
      <c r="V6" t="s">
        <v>21</v>
      </c>
      <c r="W6" t="s">
        <v>20</v>
      </c>
      <c r="X6">
        <v>1020.5</v>
      </c>
      <c r="Y6" t="s">
        <v>22</v>
      </c>
      <c r="Z6" t="s">
        <v>23</v>
      </c>
      <c r="AA6">
        <v>46.91</v>
      </c>
      <c r="AB6" t="s">
        <v>24</v>
      </c>
      <c r="AC6" t="s">
        <v>23</v>
      </c>
      <c r="AD6">
        <v>56.35</v>
      </c>
      <c r="AE6" t="s">
        <v>24</v>
      </c>
      <c r="AF6" t="s">
        <v>23</v>
      </c>
      <c r="AG6" t="s">
        <v>25</v>
      </c>
      <c r="AH6" s="5">
        <f t="shared" si="0"/>
        <v>42709</v>
      </c>
    </row>
    <row r="7" spans="1:34" x14ac:dyDescent="0.3">
      <c r="A7">
        <v>0</v>
      </c>
      <c r="B7" s="1">
        <v>45777</v>
      </c>
      <c r="C7" s="2">
        <v>0.49502314814814813</v>
      </c>
      <c r="D7" t="s">
        <v>81</v>
      </c>
      <c r="E7" t="s">
        <v>18</v>
      </c>
      <c r="F7">
        <v>2.21</v>
      </c>
      <c r="G7" t="s">
        <v>19</v>
      </c>
      <c r="H7" t="s">
        <v>20</v>
      </c>
      <c r="I7" s="14">
        <v>539.85</v>
      </c>
      <c r="J7" t="s">
        <v>21</v>
      </c>
      <c r="K7" t="s">
        <v>20</v>
      </c>
      <c r="L7">
        <v>0.39</v>
      </c>
      <c r="M7" t="s">
        <v>21</v>
      </c>
      <c r="N7" t="s">
        <v>20</v>
      </c>
      <c r="O7" s="14">
        <v>0.40079999999999999</v>
      </c>
      <c r="P7" t="s">
        <v>21</v>
      </c>
      <c r="Q7" t="s">
        <v>20</v>
      </c>
      <c r="R7">
        <v>8.2000000000000003E-2</v>
      </c>
      <c r="S7" t="s">
        <v>21</v>
      </c>
      <c r="T7" t="s">
        <v>20</v>
      </c>
      <c r="U7">
        <v>2.1139999999999999</v>
      </c>
      <c r="V7" t="s">
        <v>21</v>
      </c>
      <c r="W7" t="s">
        <v>20</v>
      </c>
      <c r="X7">
        <v>1020.5</v>
      </c>
      <c r="Y7" t="s">
        <v>22</v>
      </c>
      <c r="Z7" t="s">
        <v>23</v>
      </c>
      <c r="AA7">
        <v>47.61</v>
      </c>
      <c r="AB7" t="s">
        <v>24</v>
      </c>
      <c r="AC7" t="s">
        <v>23</v>
      </c>
      <c r="AD7">
        <v>57.04</v>
      </c>
      <c r="AE7" t="s">
        <v>24</v>
      </c>
      <c r="AF7" t="s">
        <v>23</v>
      </c>
      <c r="AG7" t="s">
        <v>25</v>
      </c>
      <c r="AH7" s="5">
        <f t="shared" si="0"/>
        <v>42770</v>
      </c>
    </row>
    <row r="8" spans="1:34" x14ac:dyDescent="0.3">
      <c r="A8">
        <v>0</v>
      </c>
      <c r="B8" s="1">
        <v>45777</v>
      </c>
      <c r="C8" s="2">
        <v>0.49572916666666667</v>
      </c>
      <c r="D8" t="s">
        <v>82</v>
      </c>
      <c r="E8" t="s">
        <v>18</v>
      </c>
      <c r="F8">
        <v>2.27</v>
      </c>
      <c r="G8" t="s">
        <v>19</v>
      </c>
      <c r="H8" t="s">
        <v>20</v>
      </c>
      <c r="I8" s="14">
        <v>557.17999999999995</v>
      </c>
      <c r="J8" t="s">
        <v>21</v>
      </c>
      <c r="K8" t="s">
        <v>20</v>
      </c>
      <c r="L8">
        <v>0.44400000000000001</v>
      </c>
      <c r="M8" t="s">
        <v>21</v>
      </c>
      <c r="N8" t="s">
        <v>20</v>
      </c>
      <c r="O8" s="14">
        <v>0.40749999999999997</v>
      </c>
      <c r="P8" t="s">
        <v>21</v>
      </c>
      <c r="Q8" t="s">
        <v>20</v>
      </c>
      <c r="R8">
        <v>0.112</v>
      </c>
      <c r="S8" t="s">
        <v>21</v>
      </c>
      <c r="T8" t="s">
        <v>20</v>
      </c>
      <c r="U8">
        <v>2.1190000000000002</v>
      </c>
      <c r="V8" t="s">
        <v>21</v>
      </c>
      <c r="W8" t="s">
        <v>20</v>
      </c>
      <c r="X8">
        <v>1020.7</v>
      </c>
      <c r="Y8" t="s">
        <v>22</v>
      </c>
      <c r="Z8" t="s">
        <v>23</v>
      </c>
      <c r="AA8">
        <v>48.23</v>
      </c>
      <c r="AB8" t="s">
        <v>24</v>
      </c>
      <c r="AC8" t="s">
        <v>23</v>
      </c>
      <c r="AD8">
        <v>57.62</v>
      </c>
      <c r="AE8" t="s">
        <v>24</v>
      </c>
      <c r="AF8" t="s">
        <v>23</v>
      </c>
      <c r="AG8" t="s">
        <v>25</v>
      </c>
      <c r="AH8" s="5">
        <f t="shared" si="0"/>
        <v>42831</v>
      </c>
    </row>
    <row r="9" spans="1:34" x14ac:dyDescent="0.3">
      <c r="A9">
        <v>0</v>
      </c>
      <c r="B9" s="1">
        <v>45777</v>
      </c>
      <c r="C9" s="2">
        <v>0.4964351851851852</v>
      </c>
      <c r="D9" t="s">
        <v>83</v>
      </c>
      <c r="E9" t="s">
        <v>18</v>
      </c>
      <c r="F9">
        <v>2.3199999999999998</v>
      </c>
      <c r="G9" t="s">
        <v>19</v>
      </c>
      <c r="H9" t="s">
        <v>20</v>
      </c>
      <c r="I9" s="14">
        <v>569.03</v>
      </c>
      <c r="J9" t="s">
        <v>21</v>
      </c>
      <c r="K9" t="s">
        <v>20</v>
      </c>
      <c r="L9">
        <v>0.439</v>
      </c>
      <c r="M9" t="s">
        <v>21</v>
      </c>
      <c r="N9" t="s">
        <v>20</v>
      </c>
      <c r="O9" s="14">
        <v>0.40400000000000003</v>
      </c>
      <c r="P9" t="s">
        <v>21</v>
      </c>
      <c r="Q9" t="s">
        <v>20</v>
      </c>
      <c r="R9">
        <v>9.2999999999999999E-2</v>
      </c>
      <c r="S9" t="s">
        <v>21</v>
      </c>
      <c r="T9" t="s">
        <v>20</v>
      </c>
      <c r="U9">
        <v>2.1389999999999998</v>
      </c>
      <c r="V9" t="s">
        <v>21</v>
      </c>
      <c r="W9" t="s">
        <v>20</v>
      </c>
      <c r="X9">
        <v>1020.7</v>
      </c>
      <c r="Y9" t="s">
        <v>22</v>
      </c>
      <c r="Z9" t="s">
        <v>23</v>
      </c>
      <c r="AA9">
        <v>48.62</v>
      </c>
      <c r="AB9" t="s">
        <v>24</v>
      </c>
      <c r="AC9" t="s">
        <v>23</v>
      </c>
      <c r="AD9">
        <v>58.08</v>
      </c>
      <c r="AE9" t="s">
        <v>24</v>
      </c>
      <c r="AF9" t="s">
        <v>23</v>
      </c>
      <c r="AG9" t="s">
        <v>25</v>
      </c>
      <c r="AH9" s="5">
        <f t="shared" si="0"/>
        <v>42892</v>
      </c>
    </row>
    <row r="12" spans="1:34" ht="23.4" x14ac:dyDescent="0.45">
      <c r="A12" s="3" t="s">
        <v>231</v>
      </c>
      <c r="O12" s="4" t="s">
        <v>232</v>
      </c>
    </row>
    <row r="13" spans="1:34" x14ac:dyDescent="0.3">
      <c r="B13" t="s">
        <v>233</v>
      </c>
      <c r="C13">
        <f>L20</f>
        <v>93.239999999999952</v>
      </c>
      <c r="F13" t="s">
        <v>234</v>
      </c>
      <c r="G13" s="5">
        <f>C15</f>
        <v>0.2547540983606556</v>
      </c>
      <c r="M13" s="5"/>
      <c r="P13" t="s">
        <v>233</v>
      </c>
      <c r="Q13">
        <f>Z20</f>
        <v>2.0500000000000018E-2</v>
      </c>
      <c r="T13" t="s">
        <v>234</v>
      </c>
      <c r="U13" s="5">
        <f>Q15</f>
        <v>6.7213114754098417E-5</v>
      </c>
      <c r="AA13" s="7"/>
    </row>
    <row r="14" spans="1:34" x14ac:dyDescent="0.3">
      <c r="B14" t="s">
        <v>2</v>
      </c>
      <c r="C14" s="5">
        <f>M20</f>
        <v>366</v>
      </c>
      <c r="F14" t="s">
        <v>235</v>
      </c>
      <c r="G14" s="8">
        <v>9.6699999999999998E-3</v>
      </c>
      <c r="M14" s="5"/>
      <c r="P14" t="s">
        <v>2</v>
      </c>
      <c r="Q14" s="5">
        <f>AA20</f>
        <v>305</v>
      </c>
      <c r="T14" t="s">
        <v>235</v>
      </c>
      <c r="U14" s="8">
        <v>9.6699999999999998E-3</v>
      </c>
      <c r="AA14" s="7"/>
    </row>
    <row r="15" spans="1:34" x14ac:dyDescent="0.3">
      <c r="B15" t="s">
        <v>236</v>
      </c>
      <c r="C15" s="5">
        <f>C13/C14</f>
        <v>0.2547540983606556</v>
      </c>
      <c r="F15" t="s">
        <v>237</v>
      </c>
      <c r="G15">
        <f>22.4*10^-3</f>
        <v>2.24E-2</v>
      </c>
      <c r="M15" s="5"/>
      <c r="P15" t="s">
        <v>236</v>
      </c>
      <c r="Q15" s="9">
        <f>Q13/Q14</f>
        <v>6.7213114754098417E-5</v>
      </c>
      <c r="T15" t="s">
        <v>237</v>
      </c>
      <c r="U15">
        <f>22.4*10^-3</f>
        <v>2.24E-2</v>
      </c>
      <c r="AA15" s="7"/>
    </row>
    <row r="16" spans="1:34" x14ac:dyDescent="0.3">
      <c r="F16" s="10" t="s">
        <v>238</v>
      </c>
      <c r="G16" s="10">
        <v>12.8</v>
      </c>
      <c r="H16" t="s">
        <v>239</v>
      </c>
      <c r="I16">
        <f>G16+273</f>
        <v>285.8</v>
      </c>
      <c r="M16" s="5"/>
      <c r="T16" s="10" t="s">
        <v>238</v>
      </c>
      <c r="U16" s="10">
        <v>12.8</v>
      </c>
      <c r="V16" t="s">
        <v>239</v>
      </c>
      <c r="W16">
        <f>U16+273</f>
        <v>285.8</v>
      </c>
      <c r="AA16" s="7"/>
    </row>
    <row r="17" spans="6:27" x14ac:dyDescent="0.3">
      <c r="F17" t="s">
        <v>240</v>
      </c>
      <c r="G17">
        <v>273</v>
      </c>
      <c r="M17" s="5"/>
      <c r="T17" t="s">
        <v>240</v>
      </c>
      <c r="U17">
        <v>273</v>
      </c>
      <c r="AA17" s="7"/>
    </row>
    <row r="18" spans="6:27" x14ac:dyDescent="0.3">
      <c r="F18" t="s">
        <v>241</v>
      </c>
      <c r="G18">
        <v>3.1399999999999997E-2</v>
      </c>
      <c r="M18" s="5"/>
      <c r="T18" t="s">
        <v>241</v>
      </c>
      <c r="U18">
        <v>3.1399999999999997E-2</v>
      </c>
      <c r="AA18" s="7"/>
    </row>
    <row r="19" spans="6:27" x14ac:dyDescent="0.3">
      <c r="L19" s="14" t="s">
        <v>247</v>
      </c>
      <c r="M19" s="15" t="s">
        <v>248</v>
      </c>
      <c r="Z19" s="14" t="s">
        <v>249</v>
      </c>
      <c r="AA19" s="16" t="s">
        <v>248</v>
      </c>
    </row>
    <row r="20" spans="6:27" x14ac:dyDescent="0.3">
      <c r="F20" t="s">
        <v>242</v>
      </c>
      <c r="G20">
        <f>G17/I16</f>
        <v>0.95521343596920916</v>
      </c>
      <c r="L20">
        <f>I9-I3</f>
        <v>93.239999999999952</v>
      </c>
      <c r="M20" s="7">
        <f>AH9-AH3</f>
        <v>366</v>
      </c>
      <c r="T20" t="s">
        <v>242</v>
      </c>
      <c r="U20">
        <f>U17/W16</f>
        <v>0.95521343596920916</v>
      </c>
      <c r="Z20">
        <f>O9-O4</f>
        <v>2.0500000000000018E-2</v>
      </c>
      <c r="AA20" s="7">
        <f>AH9-AH4</f>
        <v>305</v>
      </c>
    </row>
    <row r="21" spans="6:27" x14ac:dyDescent="0.3">
      <c r="F21" t="s">
        <v>243</v>
      </c>
      <c r="G21">
        <f>1/G18</f>
        <v>31.847133757961785</v>
      </c>
      <c r="M21" s="11">
        <f>M20/60</f>
        <v>6.1</v>
      </c>
      <c r="T21" t="s">
        <v>243</v>
      </c>
      <c r="U21">
        <f>1/U18</f>
        <v>31.847133757961785</v>
      </c>
      <c r="AA21" s="11"/>
    </row>
    <row r="22" spans="6:27" x14ac:dyDescent="0.3">
      <c r="F22" t="s">
        <v>244</v>
      </c>
      <c r="G22">
        <f>G15/G20</f>
        <v>2.3450256410256411E-2</v>
      </c>
      <c r="T22" t="s">
        <v>244</v>
      </c>
      <c r="U22">
        <f>U15/U20</f>
        <v>2.3450256410256411E-2</v>
      </c>
      <c r="AA22" s="7"/>
    </row>
    <row r="23" spans="6:27" x14ac:dyDescent="0.3">
      <c r="L23" s="6">
        <f>(L20/M20)*(G14/G15)/G18</f>
        <v>3.5024342173958427</v>
      </c>
      <c r="Z23" s="6">
        <f>(Z20/AA20)*(U14/U15)/U18</f>
        <v>9.240656558122892E-4</v>
      </c>
      <c r="AA23" s="7"/>
    </row>
    <row r="24" spans="6:27" x14ac:dyDescent="0.3">
      <c r="F24" s="10">
        <f>(G13)*(G14/G22)*(G21)</f>
        <v>3.3455722230548108</v>
      </c>
      <c r="T24" s="10">
        <f>(U13)*(U14/U22)*(U21)</f>
        <v>8.8267993014959736E-4</v>
      </c>
      <c r="AA24" s="7"/>
    </row>
    <row r="26" spans="6:27" x14ac:dyDescent="0.3">
      <c r="Y26" s="12" t="s">
        <v>245</v>
      </c>
      <c r="Z26" s="12">
        <f>Z23*298</f>
        <v>0.2753715654320622</v>
      </c>
      <c r="AA26" s="7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5B796-E5B8-470A-B3AA-0391FBE281CD}">
  <dimension ref="A1:AH27"/>
  <sheetViews>
    <sheetView topLeftCell="G15" workbookViewId="0">
      <selection activeCell="Z27" sqref="Z27"/>
    </sheetView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</v>
      </c>
      <c r="K1" t="s">
        <v>7</v>
      </c>
      <c r="L1" t="s">
        <v>9</v>
      </c>
      <c r="M1" t="s">
        <v>6</v>
      </c>
      <c r="N1" t="s">
        <v>7</v>
      </c>
      <c r="O1" t="s">
        <v>10</v>
      </c>
      <c r="P1" t="s">
        <v>6</v>
      </c>
      <c r="Q1" t="s">
        <v>7</v>
      </c>
      <c r="R1" t="s">
        <v>11</v>
      </c>
      <c r="S1" t="s">
        <v>6</v>
      </c>
      <c r="T1" t="s">
        <v>7</v>
      </c>
      <c r="U1" t="s">
        <v>12</v>
      </c>
      <c r="V1" t="s">
        <v>6</v>
      </c>
      <c r="W1" t="s">
        <v>7</v>
      </c>
      <c r="X1" t="s">
        <v>13</v>
      </c>
      <c r="Y1" t="s">
        <v>6</v>
      </c>
      <c r="Z1" t="s">
        <v>7</v>
      </c>
      <c r="AA1" t="s">
        <v>14</v>
      </c>
      <c r="AB1" t="s">
        <v>6</v>
      </c>
      <c r="AC1" t="s">
        <v>7</v>
      </c>
      <c r="AD1" t="s">
        <v>15</v>
      </c>
      <c r="AE1" t="s">
        <v>6</v>
      </c>
      <c r="AF1" t="s">
        <v>7</v>
      </c>
      <c r="AG1" t="s">
        <v>16</v>
      </c>
      <c r="AH1" t="s">
        <v>246</v>
      </c>
    </row>
    <row r="2" spans="1:34" x14ac:dyDescent="0.3">
      <c r="A2">
        <v>0</v>
      </c>
      <c r="B2" s="1">
        <v>45777</v>
      </c>
      <c r="C2" s="2">
        <v>0.49842592592592594</v>
      </c>
      <c r="D2" t="s">
        <v>84</v>
      </c>
      <c r="E2" t="s">
        <v>18</v>
      </c>
      <c r="F2">
        <v>2.16</v>
      </c>
      <c r="G2" t="s">
        <v>19</v>
      </c>
      <c r="H2" t="s">
        <v>20</v>
      </c>
      <c r="I2">
        <v>314.12</v>
      </c>
      <c r="J2" t="s">
        <v>21</v>
      </c>
      <c r="K2" t="s">
        <v>20</v>
      </c>
      <c r="L2">
        <v>9.6720000000000006</v>
      </c>
      <c r="M2" t="s">
        <v>21</v>
      </c>
      <c r="N2" t="s">
        <v>20</v>
      </c>
      <c r="O2">
        <v>0.50249999999999995</v>
      </c>
      <c r="P2" t="s">
        <v>21</v>
      </c>
      <c r="Q2" t="s">
        <v>20</v>
      </c>
      <c r="R2">
        <v>1.2529999999999999</v>
      </c>
      <c r="S2" t="s">
        <v>21</v>
      </c>
      <c r="T2" t="s">
        <v>20</v>
      </c>
      <c r="U2">
        <v>1.1819999999999999</v>
      </c>
      <c r="V2" t="s">
        <v>21</v>
      </c>
      <c r="W2" t="s">
        <v>20</v>
      </c>
      <c r="X2">
        <v>1020.8</v>
      </c>
      <c r="Y2" t="s">
        <v>22</v>
      </c>
      <c r="Z2" t="s">
        <v>23</v>
      </c>
      <c r="AA2">
        <v>49.61</v>
      </c>
      <c r="AB2" t="s">
        <v>24</v>
      </c>
      <c r="AC2" t="s">
        <v>23</v>
      </c>
      <c r="AD2">
        <v>58.87</v>
      </c>
      <c r="AE2" t="s">
        <v>24</v>
      </c>
      <c r="AF2" t="s">
        <v>23</v>
      </c>
      <c r="AG2" t="s">
        <v>25</v>
      </c>
      <c r="AH2" s="5">
        <f>HOUR(C2)*3600 + MINUTE(C2)*60 + SECOND(C2)</f>
        <v>43064</v>
      </c>
    </row>
    <row r="3" spans="1:34" x14ac:dyDescent="0.3">
      <c r="A3">
        <v>0</v>
      </c>
      <c r="B3" s="1">
        <v>45777</v>
      </c>
      <c r="C3" s="2">
        <v>0.49914351851851851</v>
      </c>
      <c r="D3" t="s">
        <v>85</v>
      </c>
      <c r="E3" t="s">
        <v>18</v>
      </c>
      <c r="F3">
        <v>1.83</v>
      </c>
      <c r="G3" t="s">
        <v>19</v>
      </c>
      <c r="H3" t="s">
        <v>20</v>
      </c>
      <c r="I3" s="14">
        <v>477.41</v>
      </c>
      <c r="J3" t="s">
        <v>21</v>
      </c>
      <c r="K3" t="s">
        <v>20</v>
      </c>
      <c r="L3">
        <v>0.51900000000000002</v>
      </c>
      <c r="M3" t="s">
        <v>21</v>
      </c>
      <c r="N3" t="s">
        <v>20</v>
      </c>
      <c r="O3" s="14">
        <v>0.40189999999999998</v>
      </c>
      <c r="P3" t="s">
        <v>21</v>
      </c>
      <c r="Q3" t="s">
        <v>20</v>
      </c>
      <c r="R3">
        <v>0</v>
      </c>
      <c r="S3" t="s">
        <v>21</v>
      </c>
      <c r="T3" t="s">
        <v>20</v>
      </c>
      <c r="U3">
        <v>2.1619999999999999</v>
      </c>
      <c r="V3" t="s">
        <v>21</v>
      </c>
      <c r="W3" t="s">
        <v>20</v>
      </c>
      <c r="X3">
        <v>1020.7</v>
      </c>
      <c r="Y3" t="s">
        <v>22</v>
      </c>
      <c r="Z3" t="s">
        <v>23</v>
      </c>
      <c r="AA3">
        <v>49.92</v>
      </c>
      <c r="AB3" t="s">
        <v>24</v>
      </c>
      <c r="AC3" t="s">
        <v>23</v>
      </c>
      <c r="AD3">
        <v>59.06</v>
      </c>
      <c r="AE3" t="s">
        <v>24</v>
      </c>
      <c r="AF3" t="s">
        <v>23</v>
      </c>
      <c r="AG3" t="s">
        <v>25</v>
      </c>
      <c r="AH3" s="5">
        <f t="shared" ref="AH3:AH11" si="0">HOUR(C3)*3600 + MINUTE(C3)*60 + SECOND(C3)</f>
        <v>43126</v>
      </c>
    </row>
    <row r="4" spans="1:34" x14ac:dyDescent="0.3">
      <c r="A4">
        <v>0</v>
      </c>
      <c r="B4" s="1">
        <v>45777</v>
      </c>
      <c r="C4" s="2">
        <v>0.49984953703703705</v>
      </c>
      <c r="D4" t="s">
        <v>86</v>
      </c>
      <c r="E4" t="s">
        <v>18</v>
      </c>
      <c r="F4">
        <v>1.9</v>
      </c>
      <c r="G4" t="s">
        <v>19</v>
      </c>
      <c r="H4" t="s">
        <v>20</v>
      </c>
      <c r="I4" s="14">
        <v>494.13</v>
      </c>
      <c r="J4" t="s">
        <v>21</v>
      </c>
      <c r="K4" t="s">
        <v>20</v>
      </c>
      <c r="L4">
        <v>0.55100000000000005</v>
      </c>
      <c r="M4" t="s">
        <v>21</v>
      </c>
      <c r="N4" t="s">
        <v>20</v>
      </c>
      <c r="O4" s="14">
        <v>0.39789999999999998</v>
      </c>
      <c r="P4" t="s">
        <v>21</v>
      </c>
      <c r="Q4" t="s">
        <v>20</v>
      </c>
      <c r="R4">
        <v>0</v>
      </c>
      <c r="S4" t="s">
        <v>21</v>
      </c>
      <c r="T4" t="s">
        <v>20</v>
      </c>
      <c r="U4">
        <v>2.1579999999999999</v>
      </c>
      <c r="V4" t="s">
        <v>21</v>
      </c>
      <c r="W4" t="s">
        <v>20</v>
      </c>
      <c r="X4">
        <v>1020.8</v>
      </c>
      <c r="Y4" t="s">
        <v>22</v>
      </c>
      <c r="Z4" t="s">
        <v>23</v>
      </c>
      <c r="AA4">
        <v>50.06</v>
      </c>
      <c r="AB4" t="s">
        <v>24</v>
      </c>
      <c r="AC4" t="s">
        <v>23</v>
      </c>
      <c r="AD4">
        <v>59.17</v>
      </c>
      <c r="AE4" t="s">
        <v>24</v>
      </c>
      <c r="AF4" t="s">
        <v>23</v>
      </c>
      <c r="AG4" t="s">
        <v>25</v>
      </c>
      <c r="AH4" s="5">
        <f t="shared" si="0"/>
        <v>43187</v>
      </c>
    </row>
    <row r="5" spans="1:34" x14ac:dyDescent="0.3">
      <c r="A5">
        <v>0</v>
      </c>
      <c r="B5" s="1">
        <v>45777</v>
      </c>
      <c r="C5" s="2">
        <v>0.50055555555555553</v>
      </c>
      <c r="D5" t="s">
        <v>87</v>
      </c>
      <c r="E5" t="s">
        <v>18</v>
      </c>
      <c r="F5">
        <v>1.95</v>
      </c>
      <c r="G5" t="s">
        <v>19</v>
      </c>
      <c r="H5" t="s">
        <v>20</v>
      </c>
      <c r="I5" s="14">
        <v>507.91</v>
      </c>
      <c r="J5" t="s">
        <v>21</v>
      </c>
      <c r="K5" t="s">
        <v>20</v>
      </c>
      <c r="L5">
        <v>0.53200000000000003</v>
      </c>
      <c r="M5" t="s">
        <v>21</v>
      </c>
      <c r="N5" t="s">
        <v>20</v>
      </c>
      <c r="O5" s="14">
        <v>0.40060000000000001</v>
      </c>
      <c r="P5" t="s">
        <v>21</v>
      </c>
      <c r="Q5" t="s">
        <v>20</v>
      </c>
      <c r="R5">
        <v>0</v>
      </c>
      <c r="S5" t="s">
        <v>21</v>
      </c>
      <c r="T5" t="s">
        <v>20</v>
      </c>
      <c r="U5">
        <v>2.165</v>
      </c>
      <c r="V5" t="s">
        <v>21</v>
      </c>
      <c r="W5" t="s">
        <v>20</v>
      </c>
      <c r="X5">
        <v>1020.8</v>
      </c>
      <c r="Y5" t="s">
        <v>22</v>
      </c>
      <c r="Z5" t="s">
        <v>23</v>
      </c>
      <c r="AA5">
        <v>50.09</v>
      </c>
      <c r="AB5" t="s">
        <v>24</v>
      </c>
      <c r="AC5" t="s">
        <v>23</v>
      </c>
      <c r="AD5">
        <v>59.27</v>
      </c>
      <c r="AE5" t="s">
        <v>24</v>
      </c>
      <c r="AF5" t="s">
        <v>23</v>
      </c>
      <c r="AG5" t="s">
        <v>25</v>
      </c>
      <c r="AH5" s="5">
        <f t="shared" si="0"/>
        <v>43248</v>
      </c>
    </row>
    <row r="6" spans="1:34" x14ac:dyDescent="0.3">
      <c r="A6">
        <v>0</v>
      </c>
      <c r="B6" s="1">
        <v>45777</v>
      </c>
      <c r="C6" s="2">
        <v>0.50126157407407412</v>
      </c>
      <c r="D6" t="s">
        <v>88</v>
      </c>
      <c r="E6" t="s">
        <v>18</v>
      </c>
      <c r="F6">
        <v>2.0099999999999998</v>
      </c>
      <c r="G6" t="s">
        <v>19</v>
      </c>
      <c r="H6" t="s">
        <v>20</v>
      </c>
      <c r="I6" s="14">
        <v>523.26</v>
      </c>
      <c r="J6" t="s">
        <v>21</v>
      </c>
      <c r="K6" t="s">
        <v>20</v>
      </c>
      <c r="L6">
        <v>0.56200000000000006</v>
      </c>
      <c r="M6" t="s">
        <v>21</v>
      </c>
      <c r="N6" t="s">
        <v>20</v>
      </c>
      <c r="O6" s="14">
        <v>0.4047</v>
      </c>
      <c r="P6" t="s">
        <v>21</v>
      </c>
      <c r="Q6" t="s">
        <v>20</v>
      </c>
      <c r="R6">
        <v>0</v>
      </c>
      <c r="S6" t="s">
        <v>21</v>
      </c>
      <c r="T6" t="s">
        <v>20</v>
      </c>
      <c r="U6">
        <v>2.1379999999999999</v>
      </c>
      <c r="V6" t="s">
        <v>21</v>
      </c>
      <c r="W6" t="s">
        <v>20</v>
      </c>
      <c r="X6">
        <v>1020.8</v>
      </c>
      <c r="Y6" t="s">
        <v>22</v>
      </c>
      <c r="Z6" t="s">
        <v>23</v>
      </c>
      <c r="AA6">
        <v>50.16</v>
      </c>
      <c r="AB6" t="s">
        <v>24</v>
      </c>
      <c r="AC6" t="s">
        <v>23</v>
      </c>
      <c r="AD6">
        <v>59.35</v>
      </c>
      <c r="AE6" t="s">
        <v>24</v>
      </c>
      <c r="AF6" t="s">
        <v>23</v>
      </c>
      <c r="AG6" t="s">
        <v>25</v>
      </c>
      <c r="AH6" s="5">
        <f t="shared" si="0"/>
        <v>43309</v>
      </c>
    </row>
    <row r="7" spans="1:34" x14ac:dyDescent="0.3">
      <c r="A7">
        <v>0</v>
      </c>
      <c r="B7" s="1">
        <v>45777</v>
      </c>
      <c r="C7" s="2">
        <v>0.5019675925925926</v>
      </c>
      <c r="D7" t="s">
        <v>89</v>
      </c>
      <c r="E7" t="s">
        <v>18</v>
      </c>
      <c r="F7">
        <v>2.0699999999999998</v>
      </c>
      <c r="G7" t="s">
        <v>19</v>
      </c>
      <c r="H7" t="s">
        <v>20</v>
      </c>
      <c r="I7" s="14">
        <v>540.34</v>
      </c>
      <c r="J7" t="s">
        <v>21</v>
      </c>
      <c r="K7" t="s">
        <v>20</v>
      </c>
      <c r="L7">
        <v>0.62</v>
      </c>
      <c r="M7" t="s">
        <v>21</v>
      </c>
      <c r="N7" t="s">
        <v>20</v>
      </c>
      <c r="O7" s="14">
        <v>0.40610000000000002</v>
      </c>
      <c r="P7" t="s">
        <v>21</v>
      </c>
      <c r="Q7" t="s">
        <v>20</v>
      </c>
      <c r="R7">
        <v>0</v>
      </c>
      <c r="S7" t="s">
        <v>21</v>
      </c>
      <c r="T7" t="s">
        <v>20</v>
      </c>
      <c r="U7">
        <v>2.161</v>
      </c>
      <c r="V7" t="s">
        <v>21</v>
      </c>
      <c r="W7" t="s">
        <v>20</v>
      </c>
      <c r="X7">
        <v>1020.8</v>
      </c>
      <c r="Y7" t="s">
        <v>22</v>
      </c>
      <c r="Z7" t="s">
        <v>23</v>
      </c>
      <c r="AA7">
        <v>50.29</v>
      </c>
      <c r="AB7" t="s">
        <v>24</v>
      </c>
      <c r="AC7" t="s">
        <v>23</v>
      </c>
      <c r="AD7">
        <v>59.49</v>
      </c>
      <c r="AE7" t="s">
        <v>24</v>
      </c>
      <c r="AF7" t="s">
        <v>23</v>
      </c>
      <c r="AG7" t="s">
        <v>25</v>
      </c>
      <c r="AH7" s="5">
        <f t="shared" si="0"/>
        <v>43370</v>
      </c>
    </row>
    <row r="8" spans="1:34" x14ac:dyDescent="0.3">
      <c r="A8">
        <v>0</v>
      </c>
      <c r="B8" s="1">
        <v>45777</v>
      </c>
      <c r="C8" s="2">
        <v>0.50267361111111108</v>
      </c>
      <c r="D8" t="s">
        <v>90</v>
      </c>
      <c r="E8" t="s">
        <v>18</v>
      </c>
      <c r="F8">
        <v>2.13</v>
      </c>
      <c r="G8" t="s">
        <v>19</v>
      </c>
      <c r="H8" t="s">
        <v>20</v>
      </c>
      <c r="I8" s="14">
        <v>555.02</v>
      </c>
      <c r="J8" t="s">
        <v>21</v>
      </c>
      <c r="K8" t="s">
        <v>20</v>
      </c>
      <c r="L8">
        <v>0.61699999999999999</v>
      </c>
      <c r="M8" t="s">
        <v>21</v>
      </c>
      <c r="N8" t="s">
        <v>20</v>
      </c>
      <c r="O8" s="14">
        <v>0.40510000000000002</v>
      </c>
      <c r="P8" t="s">
        <v>21</v>
      </c>
      <c r="Q8" t="s">
        <v>20</v>
      </c>
      <c r="R8">
        <v>0</v>
      </c>
      <c r="S8" t="s">
        <v>21</v>
      </c>
      <c r="T8" t="s">
        <v>20</v>
      </c>
      <c r="U8">
        <v>2.149</v>
      </c>
      <c r="V8" t="s">
        <v>21</v>
      </c>
      <c r="W8" t="s">
        <v>20</v>
      </c>
      <c r="X8">
        <v>1020.9</v>
      </c>
      <c r="Y8" t="s">
        <v>22</v>
      </c>
      <c r="Z8" t="s">
        <v>23</v>
      </c>
      <c r="AA8">
        <v>50.39</v>
      </c>
      <c r="AB8" t="s">
        <v>24</v>
      </c>
      <c r="AC8" t="s">
        <v>23</v>
      </c>
      <c r="AD8">
        <v>59.63</v>
      </c>
      <c r="AE8" t="s">
        <v>24</v>
      </c>
      <c r="AF8" t="s">
        <v>23</v>
      </c>
      <c r="AG8" t="s">
        <v>25</v>
      </c>
      <c r="AH8" s="5">
        <f t="shared" si="0"/>
        <v>43431</v>
      </c>
    </row>
    <row r="9" spans="1:34" x14ac:dyDescent="0.3">
      <c r="A9">
        <v>0</v>
      </c>
      <c r="B9" s="1">
        <v>45777</v>
      </c>
      <c r="C9" s="2">
        <v>0.50337962962962968</v>
      </c>
      <c r="D9" t="s">
        <v>91</v>
      </c>
      <c r="E9" t="s">
        <v>18</v>
      </c>
      <c r="F9">
        <v>2.1800000000000002</v>
      </c>
      <c r="G9" t="s">
        <v>19</v>
      </c>
      <c r="H9" t="s">
        <v>20</v>
      </c>
      <c r="I9" s="14">
        <v>568.87</v>
      </c>
      <c r="J9" t="s">
        <v>21</v>
      </c>
      <c r="K9" t="s">
        <v>20</v>
      </c>
      <c r="L9">
        <v>0.629</v>
      </c>
      <c r="M9" t="s">
        <v>21</v>
      </c>
      <c r="N9" t="s">
        <v>20</v>
      </c>
      <c r="O9" s="14">
        <v>0.4148</v>
      </c>
      <c r="P9" t="s">
        <v>21</v>
      </c>
      <c r="Q9" t="s">
        <v>20</v>
      </c>
      <c r="R9">
        <v>0.01</v>
      </c>
      <c r="S9" t="s">
        <v>21</v>
      </c>
      <c r="T9" t="s">
        <v>20</v>
      </c>
      <c r="U9">
        <v>2.1389999999999998</v>
      </c>
      <c r="V9" t="s">
        <v>21</v>
      </c>
      <c r="W9" t="s">
        <v>20</v>
      </c>
      <c r="X9">
        <v>1020.9</v>
      </c>
      <c r="Y9" t="s">
        <v>22</v>
      </c>
      <c r="Z9" t="s">
        <v>23</v>
      </c>
      <c r="AA9">
        <v>50.56</v>
      </c>
      <c r="AB9" t="s">
        <v>24</v>
      </c>
      <c r="AC9" t="s">
        <v>23</v>
      </c>
      <c r="AD9">
        <v>59.8</v>
      </c>
      <c r="AE9" t="s">
        <v>24</v>
      </c>
      <c r="AF9" t="s">
        <v>23</v>
      </c>
      <c r="AG9" t="s">
        <v>25</v>
      </c>
      <c r="AH9" s="5">
        <f t="shared" si="0"/>
        <v>43492</v>
      </c>
    </row>
    <row r="10" spans="1:34" x14ac:dyDescent="0.3">
      <c r="A10">
        <v>0</v>
      </c>
      <c r="B10" s="1">
        <v>45777</v>
      </c>
      <c r="C10" s="2">
        <v>0.50408564814814816</v>
      </c>
      <c r="D10" t="s">
        <v>92</v>
      </c>
      <c r="E10" t="s">
        <v>18</v>
      </c>
      <c r="F10">
        <v>2.23</v>
      </c>
      <c r="G10" t="s">
        <v>19</v>
      </c>
      <c r="H10" t="s">
        <v>20</v>
      </c>
      <c r="I10" s="14">
        <v>586</v>
      </c>
      <c r="J10" t="s">
        <v>21</v>
      </c>
      <c r="K10" t="s">
        <v>20</v>
      </c>
      <c r="L10">
        <v>0.68400000000000005</v>
      </c>
      <c r="M10" t="s">
        <v>21</v>
      </c>
      <c r="N10" t="s">
        <v>20</v>
      </c>
      <c r="O10" s="14">
        <v>0.4113</v>
      </c>
      <c r="P10" t="s">
        <v>21</v>
      </c>
      <c r="Q10" t="s">
        <v>20</v>
      </c>
      <c r="R10">
        <v>0</v>
      </c>
      <c r="S10" t="s">
        <v>21</v>
      </c>
      <c r="T10" t="s">
        <v>20</v>
      </c>
      <c r="U10">
        <v>2.149</v>
      </c>
      <c r="V10" t="s">
        <v>21</v>
      </c>
      <c r="W10" t="s">
        <v>20</v>
      </c>
      <c r="X10">
        <v>1021</v>
      </c>
      <c r="Y10" t="s">
        <v>22</v>
      </c>
      <c r="Z10" t="s">
        <v>23</v>
      </c>
      <c r="AA10">
        <v>50.76</v>
      </c>
      <c r="AB10" t="s">
        <v>24</v>
      </c>
      <c r="AC10" t="s">
        <v>23</v>
      </c>
      <c r="AD10">
        <v>59.97</v>
      </c>
      <c r="AE10" t="s">
        <v>24</v>
      </c>
      <c r="AF10" t="s">
        <v>23</v>
      </c>
      <c r="AG10" t="s">
        <v>25</v>
      </c>
      <c r="AH10" s="5">
        <f t="shared" si="0"/>
        <v>43553</v>
      </c>
    </row>
    <row r="11" spans="1:34" x14ac:dyDescent="0.3">
      <c r="A11">
        <v>0</v>
      </c>
      <c r="B11" s="1">
        <v>45777</v>
      </c>
      <c r="C11" s="2">
        <v>0.50479166666666664</v>
      </c>
      <c r="D11" t="s">
        <v>93</v>
      </c>
      <c r="E11" t="s">
        <v>18</v>
      </c>
      <c r="F11">
        <v>2.2999999999999998</v>
      </c>
      <c r="G11" t="s">
        <v>19</v>
      </c>
      <c r="H11" t="s">
        <v>20</v>
      </c>
      <c r="I11" s="14">
        <v>601.21</v>
      </c>
      <c r="J11" t="s">
        <v>21</v>
      </c>
      <c r="K11" t="s">
        <v>20</v>
      </c>
      <c r="L11">
        <v>0.73499999999999999</v>
      </c>
      <c r="M11" t="s">
        <v>21</v>
      </c>
      <c r="N11" t="s">
        <v>20</v>
      </c>
      <c r="O11" s="14">
        <v>0.41620000000000001</v>
      </c>
      <c r="P11" t="s">
        <v>21</v>
      </c>
      <c r="Q11" t="s">
        <v>20</v>
      </c>
      <c r="R11">
        <v>2E-3</v>
      </c>
      <c r="S11" t="s">
        <v>21</v>
      </c>
      <c r="T11" t="s">
        <v>20</v>
      </c>
      <c r="U11">
        <v>2.1480000000000001</v>
      </c>
      <c r="V11" t="s">
        <v>21</v>
      </c>
      <c r="W11" t="s">
        <v>20</v>
      </c>
      <c r="X11">
        <v>1020.8</v>
      </c>
      <c r="Y11" t="s">
        <v>22</v>
      </c>
      <c r="Z11" t="s">
        <v>23</v>
      </c>
      <c r="AA11">
        <v>50.92</v>
      </c>
      <c r="AB11" t="s">
        <v>24</v>
      </c>
      <c r="AC11" t="s">
        <v>23</v>
      </c>
      <c r="AD11">
        <v>60.24</v>
      </c>
      <c r="AE11" t="s">
        <v>24</v>
      </c>
      <c r="AF11" t="s">
        <v>23</v>
      </c>
      <c r="AG11" t="s">
        <v>25</v>
      </c>
      <c r="AH11" s="5">
        <f t="shared" si="0"/>
        <v>43614</v>
      </c>
    </row>
    <row r="13" spans="1:34" ht="23.4" x14ac:dyDescent="0.45">
      <c r="A13" s="3" t="s">
        <v>231</v>
      </c>
      <c r="O13" s="4" t="s">
        <v>232</v>
      </c>
    </row>
    <row r="14" spans="1:34" x14ac:dyDescent="0.3">
      <c r="B14" t="s">
        <v>233</v>
      </c>
      <c r="C14">
        <f>L21</f>
        <v>123.80000000000001</v>
      </c>
      <c r="F14" t="s">
        <v>234</v>
      </c>
      <c r="G14" s="5">
        <f>C16</f>
        <v>0.25368852459016394</v>
      </c>
      <c r="M14" s="5"/>
      <c r="P14" t="s">
        <v>233</v>
      </c>
      <c r="Q14">
        <f>Z21</f>
        <v>1.4300000000000035E-2</v>
      </c>
      <c r="T14" t="s">
        <v>234</v>
      </c>
      <c r="U14" s="5">
        <f>Q16</f>
        <v>2.9303278688524661E-5</v>
      </c>
      <c r="AA14" s="7"/>
    </row>
    <row r="15" spans="1:34" x14ac:dyDescent="0.3">
      <c r="B15" t="s">
        <v>2</v>
      </c>
      <c r="C15" s="5">
        <f>M21</f>
        <v>488</v>
      </c>
      <c r="F15" t="s">
        <v>235</v>
      </c>
      <c r="G15" s="8">
        <v>9.6699999999999998E-3</v>
      </c>
      <c r="M15" s="5"/>
      <c r="P15" t="s">
        <v>2</v>
      </c>
      <c r="Q15" s="5">
        <f>AA21</f>
        <v>488</v>
      </c>
      <c r="T15" t="s">
        <v>235</v>
      </c>
      <c r="U15" s="8">
        <v>9.6699999999999998E-3</v>
      </c>
      <c r="AA15" s="7"/>
    </row>
    <row r="16" spans="1:34" x14ac:dyDescent="0.3">
      <c r="B16" t="s">
        <v>236</v>
      </c>
      <c r="C16" s="5">
        <f>C14/C15</f>
        <v>0.25368852459016394</v>
      </c>
      <c r="F16" t="s">
        <v>237</v>
      </c>
      <c r="G16">
        <f>22.4*10^-3</f>
        <v>2.24E-2</v>
      </c>
      <c r="M16" s="5"/>
      <c r="P16" t="s">
        <v>236</v>
      </c>
      <c r="Q16" s="9">
        <f>Q14/Q15</f>
        <v>2.9303278688524661E-5</v>
      </c>
      <c r="T16" t="s">
        <v>237</v>
      </c>
      <c r="U16">
        <f>22.4*10^-3</f>
        <v>2.24E-2</v>
      </c>
      <c r="AA16" s="7"/>
    </row>
    <row r="17" spans="6:27" x14ac:dyDescent="0.3">
      <c r="F17" s="10" t="s">
        <v>238</v>
      </c>
      <c r="G17" s="10">
        <v>12.8</v>
      </c>
      <c r="H17" t="s">
        <v>239</v>
      </c>
      <c r="I17">
        <f>G17+273</f>
        <v>285.8</v>
      </c>
      <c r="M17" s="5"/>
      <c r="T17" s="10" t="s">
        <v>238</v>
      </c>
      <c r="U17" s="10">
        <v>12.8</v>
      </c>
      <c r="V17" t="s">
        <v>239</v>
      </c>
      <c r="W17">
        <f>U17+273</f>
        <v>285.8</v>
      </c>
      <c r="AA17" s="7"/>
    </row>
    <row r="18" spans="6:27" x14ac:dyDescent="0.3">
      <c r="F18" t="s">
        <v>240</v>
      </c>
      <c r="G18">
        <v>273</v>
      </c>
      <c r="M18" s="5"/>
      <c r="T18" t="s">
        <v>240</v>
      </c>
      <c r="U18">
        <v>273</v>
      </c>
      <c r="AA18" s="7"/>
    </row>
    <row r="19" spans="6:27" x14ac:dyDescent="0.3">
      <c r="F19" t="s">
        <v>241</v>
      </c>
      <c r="G19">
        <v>3.1399999999999997E-2</v>
      </c>
      <c r="M19" s="5"/>
      <c r="T19" t="s">
        <v>241</v>
      </c>
      <c r="U19">
        <v>3.1399999999999997E-2</v>
      </c>
      <c r="AA19" s="7"/>
    </row>
    <row r="20" spans="6:27" x14ac:dyDescent="0.3">
      <c r="L20" s="14" t="s">
        <v>247</v>
      </c>
      <c r="M20" s="15" t="s">
        <v>248</v>
      </c>
      <c r="Z20" s="14" t="s">
        <v>249</v>
      </c>
      <c r="AA20" s="16" t="s">
        <v>248</v>
      </c>
    </row>
    <row r="21" spans="6:27" x14ac:dyDescent="0.3">
      <c r="F21" t="s">
        <v>242</v>
      </c>
      <c r="G21">
        <f>G18/I17</f>
        <v>0.95521343596920916</v>
      </c>
      <c r="L21">
        <f>I11-I3</f>
        <v>123.80000000000001</v>
      </c>
      <c r="M21" s="7">
        <f>AH11-AH3</f>
        <v>488</v>
      </c>
      <c r="T21" t="s">
        <v>242</v>
      </c>
      <c r="U21">
        <f>U18/W17</f>
        <v>0.95521343596920916</v>
      </c>
      <c r="Z21">
        <f>O11-O3</f>
        <v>1.4300000000000035E-2</v>
      </c>
      <c r="AA21" s="7">
        <f>AH11-AH3</f>
        <v>488</v>
      </c>
    </row>
    <row r="22" spans="6:27" x14ac:dyDescent="0.3">
      <c r="F22" t="s">
        <v>243</v>
      </c>
      <c r="G22">
        <f>1/G19</f>
        <v>31.847133757961785</v>
      </c>
      <c r="M22" s="11">
        <f>M21/60</f>
        <v>8.1333333333333329</v>
      </c>
      <c r="T22" t="s">
        <v>243</v>
      </c>
      <c r="U22">
        <f>1/U19</f>
        <v>31.847133757961785</v>
      </c>
      <c r="AA22" s="11"/>
    </row>
    <row r="23" spans="6:27" x14ac:dyDescent="0.3">
      <c r="F23" t="s">
        <v>244</v>
      </c>
      <c r="G23">
        <f>G16/G21</f>
        <v>2.3450256410256411E-2</v>
      </c>
      <c r="T23" t="s">
        <v>244</v>
      </c>
      <c r="U23">
        <f>U16/U21</f>
        <v>2.3450256410256411E-2</v>
      </c>
      <c r="AA23" s="7"/>
    </row>
    <row r="24" spans="6:27" x14ac:dyDescent="0.3">
      <c r="L24" s="6">
        <f>(L21/M21)*(G15/G16)/G19</f>
        <v>3.4877843960232111</v>
      </c>
      <c r="Z24" s="6">
        <f>(Z21/AA21)*(U15/U16)/U19</f>
        <v>4.0287008774743166E-4</v>
      </c>
      <c r="AA24" s="7"/>
    </row>
    <row r="25" spans="6:27" x14ac:dyDescent="0.3">
      <c r="F25" s="10">
        <f>(G14)*(G15/G23)*(G22)</f>
        <v>3.331578516845124</v>
      </c>
      <c r="T25" s="10">
        <f>(U14)*(U15/U23)*(U22)</f>
        <v>3.8482692076644091E-4</v>
      </c>
      <c r="AA25" s="7"/>
    </row>
    <row r="27" spans="6:27" x14ac:dyDescent="0.3">
      <c r="Y27" s="12" t="s">
        <v>245</v>
      </c>
      <c r="Z27" s="12">
        <f>Z24*298</f>
        <v>0.12005528614873463</v>
      </c>
      <c r="AA27" s="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5C5C-356B-4400-88E7-73E13AB29D14}">
  <dimension ref="A1:AH26"/>
  <sheetViews>
    <sheetView topLeftCell="E1" workbookViewId="0">
      <selection activeCell="Z26" sqref="Z26"/>
    </sheetView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</v>
      </c>
      <c r="K1" t="s">
        <v>7</v>
      </c>
      <c r="L1" t="s">
        <v>9</v>
      </c>
      <c r="M1" t="s">
        <v>6</v>
      </c>
      <c r="N1" t="s">
        <v>7</v>
      </c>
      <c r="O1" t="s">
        <v>10</v>
      </c>
      <c r="P1" t="s">
        <v>6</v>
      </c>
      <c r="Q1" t="s">
        <v>7</v>
      </c>
      <c r="R1" t="s">
        <v>11</v>
      </c>
      <c r="S1" t="s">
        <v>6</v>
      </c>
      <c r="T1" t="s">
        <v>7</v>
      </c>
      <c r="U1" t="s">
        <v>12</v>
      </c>
      <c r="V1" t="s">
        <v>6</v>
      </c>
      <c r="W1" t="s">
        <v>7</v>
      </c>
      <c r="X1" t="s">
        <v>13</v>
      </c>
      <c r="Y1" t="s">
        <v>6</v>
      </c>
      <c r="Z1" t="s">
        <v>7</v>
      </c>
      <c r="AA1" t="s">
        <v>14</v>
      </c>
      <c r="AB1" t="s">
        <v>6</v>
      </c>
      <c r="AC1" t="s">
        <v>7</v>
      </c>
      <c r="AD1" t="s">
        <v>15</v>
      </c>
      <c r="AE1" t="s">
        <v>6</v>
      </c>
      <c r="AF1" t="s">
        <v>7</v>
      </c>
      <c r="AG1" t="s">
        <v>16</v>
      </c>
      <c r="AH1" t="s">
        <v>251</v>
      </c>
    </row>
    <row r="2" spans="1:34" x14ac:dyDescent="0.3">
      <c r="A2">
        <v>0</v>
      </c>
      <c r="B2" s="1">
        <v>45777</v>
      </c>
      <c r="C2" s="2">
        <v>0.50692129629629634</v>
      </c>
      <c r="D2" t="s">
        <v>94</v>
      </c>
      <c r="E2" t="s">
        <v>18</v>
      </c>
      <c r="F2">
        <v>1.81</v>
      </c>
      <c r="G2" t="s">
        <v>19</v>
      </c>
      <c r="H2" t="s">
        <v>20</v>
      </c>
      <c r="I2">
        <v>492.77</v>
      </c>
      <c r="J2" t="s">
        <v>21</v>
      </c>
      <c r="K2" t="s">
        <v>20</v>
      </c>
      <c r="L2">
        <v>0.74299999999999999</v>
      </c>
      <c r="M2" t="s">
        <v>21</v>
      </c>
      <c r="N2" t="s">
        <v>20</v>
      </c>
      <c r="O2">
        <v>0.4078</v>
      </c>
      <c r="P2" t="s">
        <v>21</v>
      </c>
      <c r="Q2" t="s">
        <v>20</v>
      </c>
      <c r="R2">
        <v>2.5999999999999999E-2</v>
      </c>
      <c r="S2" t="s">
        <v>21</v>
      </c>
      <c r="T2" t="s">
        <v>20</v>
      </c>
      <c r="U2">
        <v>2.1480000000000001</v>
      </c>
      <c r="V2" t="s">
        <v>21</v>
      </c>
      <c r="W2" t="s">
        <v>20</v>
      </c>
      <c r="X2">
        <v>1021</v>
      </c>
      <c r="Y2" t="s">
        <v>22</v>
      </c>
      <c r="Z2" t="s">
        <v>23</v>
      </c>
      <c r="AA2">
        <v>51.28</v>
      </c>
      <c r="AB2" t="s">
        <v>24</v>
      </c>
      <c r="AC2" t="s">
        <v>23</v>
      </c>
      <c r="AD2">
        <v>60.61</v>
      </c>
      <c r="AE2" t="s">
        <v>24</v>
      </c>
      <c r="AF2" t="s">
        <v>23</v>
      </c>
      <c r="AG2" t="s">
        <v>25</v>
      </c>
      <c r="AH2" s="5">
        <f>HOUR(C2)*3600 + MINUTE(C2)*60 + SECOND(C2)</f>
        <v>43798</v>
      </c>
    </row>
    <row r="3" spans="1:34" x14ac:dyDescent="0.3">
      <c r="A3">
        <v>0</v>
      </c>
      <c r="B3" s="1">
        <v>45777</v>
      </c>
      <c r="C3" s="2">
        <v>0.50762731481481482</v>
      </c>
      <c r="D3" t="s">
        <v>95</v>
      </c>
      <c r="E3" t="s">
        <v>18</v>
      </c>
      <c r="F3">
        <v>1.75</v>
      </c>
      <c r="G3" t="s">
        <v>19</v>
      </c>
      <c r="H3" t="s">
        <v>20</v>
      </c>
      <c r="I3" s="14">
        <v>490.8</v>
      </c>
      <c r="J3" t="s">
        <v>21</v>
      </c>
      <c r="K3" t="s">
        <v>20</v>
      </c>
      <c r="L3">
        <v>0.84899999999999998</v>
      </c>
      <c r="M3" t="s">
        <v>21</v>
      </c>
      <c r="N3" t="s">
        <v>20</v>
      </c>
      <c r="O3" s="14">
        <v>0.42780000000000001</v>
      </c>
      <c r="P3" t="s">
        <v>21</v>
      </c>
      <c r="Q3" t="s">
        <v>20</v>
      </c>
      <c r="R3">
        <v>8.0000000000000002E-3</v>
      </c>
      <c r="S3" t="s">
        <v>21</v>
      </c>
      <c r="T3" t="s">
        <v>20</v>
      </c>
      <c r="U3">
        <v>2.1549999999999998</v>
      </c>
      <c r="V3" t="s">
        <v>21</v>
      </c>
      <c r="W3" t="s">
        <v>20</v>
      </c>
      <c r="X3">
        <v>1020.9</v>
      </c>
      <c r="Y3" t="s">
        <v>22</v>
      </c>
      <c r="Z3" t="s">
        <v>23</v>
      </c>
      <c r="AA3">
        <v>51.42</v>
      </c>
      <c r="AB3" t="s">
        <v>24</v>
      </c>
      <c r="AC3" t="s">
        <v>23</v>
      </c>
      <c r="AD3">
        <v>60.78</v>
      </c>
      <c r="AE3" t="s">
        <v>24</v>
      </c>
      <c r="AF3" t="s">
        <v>23</v>
      </c>
      <c r="AG3" t="s">
        <v>25</v>
      </c>
      <c r="AH3" s="5">
        <f t="shared" ref="AH3:AH9" si="0">HOUR(C3)*3600 + MINUTE(C3)*60 + SECOND(C3)</f>
        <v>43859</v>
      </c>
    </row>
    <row r="4" spans="1:34" x14ac:dyDescent="0.3">
      <c r="A4">
        <v>0</v>
      </c>
      <c r="B4" s="1">
        <v>45777</v>
      </c>
      <c r="C4" s="2">
        <v>0.50834490740740745</v>
      </c>
      <c r="D4" t="s">
        <v>96</v>
      </c>
      <c r="E4" t="s">
        <v>18</v>
      </c>
      <c r="F4">
        <v>1.83</v>
      </c>
      <c r="G4" t="s">
        <v>19</v>
      </c>
      <c r="H4" t="s">
        <v>20</v>
      </c>
      <c r="I4" s="14">
        <v>512.01</v>
      </c>
      <c r="J4" t="s">
        <v>21</v>
      </c>
      <c r="K4" t="s">
        <v>20</v>
      </c>
      <c r="L4">
        <v>0.81499999999999995</v>
      </c>
      <c r="M4" t="s">
        <v>21</v>
      </c>
      <c r="N4" t="s">
        <v>20</v>
      </c>
      <c r="O4" s="14">
        <v>0.43619999999999998</v>
      </c>
      <c r="P4" t="s">
        <v>21</v>
      </c>
      <c r="Q4" t="s">
        <v>20</v>
      </c>
      <c r="R4">
        <v>0</v>
      </c>
      <c r="S4" t="s">
        <v>21</v>
      </c>
      <c r="T4" t="s">
        <v>20</v>
      </c>
      <c r="U4">
        <v>2.1520000000000001</v>
      </c>
      <c r="V4" t="s">
        <v>21</v>
      </c>
      <c r="W4" t="s">
        <v>20</v>
      </c>
      <c r="X4">
        <v>1020.9</v>
      </c>
      <c r="Y4" t="s">
        <v>22</v>
      </c>
      <c r="Z4" t="s">
        <v>23</v>
      </c>
      <c r="AA4">
        <v>51.58</v>
      </c>
      <c r="AB4" t="s">
        <v>24</v>
      </c>
      <c r="AC4" t="s">
        <v>23</v>
      </c>
      <c r="AD4">
        <v>60.99</v>
      </c>
      <c r="AE4" t="s">
        <v>24</v>
      </c>
      <c r="AF4" t="s">
        <v>23</v>
      </c>
      <c r="AG4" t="s">
        <v>25</v>
      </c>
      <c r="AH4" s="5">
        <f t="shared" si="0"/>
        <v>43921</v>
      </c>
    </row>
    <row r="5" spans="1:34" x14ac:dyDescent="0.3">
      <c r="A5">
        <v>0</v>
      </c>
      <c r="B5" s="1">
        <v>45777</v>
      </c>
      <c r="C5" s="2">
        <v>0.50905092592592593</v>
      </c>
      <c r="D5" t="s">
        <v>97</v>
      </c>
      <c r="E5" t="s">
        <v>18</v>
      </c>
      <c r="F5">
        <v>1.89</v>
      </c>
      <c r="G5" t="s">
        <v>19</v>
      </c>
      <c r="H5" t="s">
        <v>20</v>
      </c>
      <c r="I5" s="14">
        <v>536.95000000000005</v>
      </c>
      <c r="J5" t="s">
        <v>21</v>
      </c>
      <c r="K5" t="s">
        <v>20</v>
      </c>
      <c r="L5">
        <v>0.88400000000000001</v>
      </c>
      <c r="M5" t="s">
        <v>21</v>
      </c>
      <c r="N5" t="s">
        <v>20</v>
      </c>
      <c r="O5" s="14">
        <v>0.45739999999999997</v>
      </c>
      <c r="P5" t="s">
        <v>21</v>
      </c>
      <c r="Q5" t="s">
        <v>20</v>
      </c>
      <c r="R5">
        <v>0</v>
      </c>
      <c r="S5" t="s">
        <v>21</v>
      </c>
      <c r="T5" t="s">
        <v>20</v>
      </c>
      <c r="U5">
        <v>2.137</v>
      </c>
      <c r="V5" t="s">
        <v>21</v>
      </c>
      <c r="W5" t="s">
        <v>20</v>
      </c>
      <c r="X5">
        <v>1020.9</v>
      </c>
      <c r="Y5" t="s">
        <v>22</v>
      </c>
      <c r="Z5" t="s">
        <v>23</v>
      </c>
      <c r="AA5">
        <v>51.83</v>
      </c>
      <c r="AB5" t="s">
        <v>24</v>
      </c>
      <c r="AC5" t="s">
        <v>23</v>
      </c>
      <c r="AD5">
        <v>61.23</v>
      </c>
      <c r="AE5" t="s">
        <v>24</v>
      </c>
      <c r="AF5" t="s">
        <v>23</v>
      </c>
      <c r="AG5" t="s">
        <v>25</v>
      </c>
      <c r="AH5" s="5">
        <f t="shared" si="0"/>
        <v>43982</v>
      </c>
    </row>
    <row r="6" spans="1:34" x14ac:dyDescent="0.3">
      <c r="A6">
        <v>0</v>
      </c>
      <c r="B6" s="1">
        <v>45777</v>
      </c>
      <c r="C6" s="2">
        <v>0.50975694444444442</v>
      </c>
      <c r="D6" t="s">
        <v>98</v>
      </c>
      <c r="E6" t="s">
        <v>18</v>
      </c>
      <c r="F6">
        <v>1.95</v>
      </c>
      <c r="G6" t="s">
        <v>19</v>
      </c>
      <c r="H6" t="s">
        <v>20</v>
      </c>
      <c r="I6" s="14">
        <v>557.5</v>
      </c>
      <c r="J6" t="s">
        <v>21</v>
      </c>
      <c r="K6" t="s">
        <v>20</v>
      </c>
      <c r="L6">
        <v>0.9</v>
      </c>
      <c r="M6" t="s">
        <v>21</v>
      </c>
      <c r="N6" t="s">
        <v>20</v>
      </c>
      <c r="O6" s="14">
        <v>0.46610000000000001</v>
      </c>
      <c r="P6" t="s">
        <v>21</v>
      </c>
      <c r="Q6" t="s">
        <v>20</v>
      </c>
      <c r="R6">
        <v>0</v>
      </c>
      <c r="S6" t="s">
        <v>21</v>
      </c>
      <c r="T6" t="s">
        <v>20</v>
      </c>
      <c r="U6">
        <v>2.1349999999999998</v>
      </c>
      <c r="V6" t="s">
        <v>21</v>
      </c>
      <c r="W6" t="s">
        <v>20</v>
      </c>
      <c r="X6">
        <v>1020.9</v>
      </c>
      <c r="Y6" t="s">
        <v>22</v>
      </c>
      <c r="Z6" t="s">
        <v>23</v>
      </c>
      <c r="AA6">
        <v>52.01</v>
      </c>
      <c r="AB6" t="s">
        <v>24</v>
      </c>
      <c r="AC6" t="s">
        <v>23</v>
      </c>
      <c r="AD6">
        <v>61.45</v>
      </c>
      <c r="AE6" t="s">
        <v>24</v>
      </c>
      <c r="AF6" t="s">
        <v>23</v>
      </c>
      <c r="AG6" t="s">
        <v>25</v>
      </c>
      <c r="AH6" s="5">
        <f t="shared" si="0"/>
        <v>44043</v>
      </c>
    </row>
    <row r="7" spans="1:34" x14ac:dyDescent="0.3">
      <c r="A7">
        <v>0</v>
      </c>
      <c r="B7" s="1">
        <v>45777</v>
      </c>
      <c r="C7" s="2">
        <v>0.51046296296296301</v>
      </c>
      <c r="D7" t="s">
        <v>99</v>
      </c>
      <c r="E7" t="s">
        <v>18</v>
      </c>
      <c r="F7">
        <v>1.99</v>
      </c>
      <c r="G7" t="s">
        <v>19</v>
      </c>
      <c r="H7" t="s">
        <v>20</v>
      </c>
      <c r="I7" s="14">
        <v>577.72</v>
      </c>
      <c r="J7" t="s">
        <v>21</v>
      </c>
      <c r="K7" t="s">
        <v>20</v>
      </c>
      <c r="L7">
        <v>0.90800000000000003</v>
      </c>
      <c r="M7" t="s">
        <v>21</v>
      </c>
      <c r="N7" t="s">
        <v>20</v>
      </c>
      <c r="O7" s="14">
        <v>0.48580000000000001</v>
      </c>
      <c r="P7" t="s">
        <v>21</v>
      </c>
      <c r="Q7" t="s">
        <v>20</v>
      </c>
      <c r="R7">
        <v>3.1E-2</v>
      </c>
      <c r="S7" t="s">
        <v>21</v>
      </c>
      <c r="T7" t="s">
        <v>20</v>
      </c>
      <c r="U7">
        <v>2.1150000000000002</v>
      </c>
      <c r="V7" t="s">
        <v>21</v>
      </c>
      <c r="W7" t="s">
        <v>20</v>
      </c>
      <c r="X7">
        <v>1020.9</v>
      </c>
      <c r="Y7" t="s">
        <v>22</v>
      </c>
      <c r="Z7" t="s">
        <v>23</v>
      </c>
      <c r="AA7">
        <v>52.24</v>
      </c>
      <c r="AB7" t="s">
        <v>24</v>
      </c>
      <c r="AC7" t="s">
        <v>23</v>
      </c>
      <c r="AD7">
        <v>61.72</v>
      </c>
      <c r="AE7" t="s">
        <v>24</v>
      </c>
      <c r="AF7" t="s">
        <v>23</v>
      </c>
      <c r="AG7" t="s">
        <v>25</v>
      </c>
      <c r="AH7" s="5">
        <f t="shared" si="0"/>
        <v>44104</v>
      </c>
    </row>
    <row r="8" spans="1:34" x14ac:dyDescent="0.3">
      <c r="A8">
        <v>0</v>
      </c>
      <c r="B8" s="1">
        <v>45777</v>
      </c>
      <c r="C8" s="2">
        <v>0.51116898148148149</v>
      </c>
      <c r="D8" t="s">
        <v>100</v>
      </c>
      <c r="E8" t="s">
        <v>18</v>
      </c>
      <c r="F8">
        <v>2.04</v>
      </c>
      <c r="G8" t="s">
        <v>19</v>
      </c>
      <c r="H8" t="s">
        <v>20</v>
      </c>
      <c r="I8" s="14">
        <v>598.82000000000005</v>
      </c>
      <c r="J8" t="s">
        <v>21</v>
      </c>
      <c r="K8" t="s">
        <v>20</v>
      </c>
      <c r="L8">
        <v>0.96899999999999997</v>
      </c>
      <c r="M8" t="s">
        <v>21</v>
      </c>
      <c r="N8" t="s">
        <v>20</v>
      </c>
      <c r="O8" s="14">
        <v>0.497</v>
      </c>
      <c r="P8" t="s">
        <v>21</v>
      </c>
      <c r="Q8" t="s">
        <v>20</v>
      </c>
      <c r="R8">
        <v>0</v>
      </c>
      <c r="S8" t="s">
        <v>21</v>
      </c>
      <c r="T8" t="s">
        <v>20</v>
      </c>
      <c r="U8">
        <v>2.137</v>
      </c>
      <c r="V8" t="s">
        <v>21</v>
      </c>
      <c r="W8" t="s">
        <v>20</v>
      </c>
      <c r="X8">
        <v>1020.9</v>
      </c>
      <c r="Y8" t="s">
        <v>22</v>
      </c>
      <c r="Z8" t="s">
        <v>23</v>
      </c>
      <c r="AA8">
        <v>52.48</v>
      </c>
      <c r="AB8" t="s">
        <v>24</v>
      </c>
      <c r="AC8" t="s">
        <v>23</v>
      </c>
      <c r="AD8">
        <v>61.93</v>
      </c>
      <c r="AE8" t="s">
        <v>24</v>
      </c>
      <c r="AF8" t="s">
        <v>23</v>
      </c>
      <c r="AG8" t="s">
        <v>25</v>
      </c>
      <c r="AH8" s="5">
        <f t="shared" si="0"/>
        <v>44165</v>
      </c>
    </row>
    <row r="9" spans="1:34" x14ac:dyDescent="0.3">
      <c r="A9">
        <v>0</v>
      </c>
      <c r="B9" s="1">
        <v>45777</v>
      </c>
      <c r="C9" s="2">
        <v>0.51187499999999997</v>
      </c>
      <c r="D9" t="s">
        <v>101</v>
      </c>
      <c r="E9" t="s">
        <v>18</v>
      </c>
      <c r="F9">
        <v>2.09</v>
      </c>
      <c r="G9" t="s">
        <v>19</v>
      </c>
      <c r="H9" t="s">
        <v>20</v>
      </c>
      <c r="I9" s="14">
        <v>619.5</v>
      </c>
      <c r="J9" t="s">
        <v>21</v>
      </c>
      <c r="K9" t="s">
        <v>20</v>
      </c>
      <c r="L9">
        <v>0.98899999999999999</v>
      </c>
      <c r="M9" t="s">
        <v>21</v>
      </c>
      <c r="N9" t="s">
        <v>20</v>
      </c>
      <c r="O9" s="14">
        <v>0.50680000000000003</v>
      </c>
      <c r="P9" t="s">
        <v>21</v>
      </c>
      <c r="Q9" t="s">
        <v>20</v>
      </c>
      <c r="R9">
        <v>2.5999999999999999E-2</v>
      </c>
      <c r="S9" t="s">
        <v>21</v>
      </c>
      <c r="T9" t="s">
        <v>20</v>
      </c>
      <c r="U9">
        <v>2.133</v>
      </c>
      <c r="V9" t="s">
        <v>21</v>
      </c>
      <c r="W9" t="s">
        <v>20</v>
      </c>
      <c r="X9">
        <v>1020.9</v>
      </c>
      <c r="Y9" t="s">
        <v>22</v>
      </c>
      <c r="Z9" t="s">
        <v>23</v>
      </c>
      <c r="AA9">
        <v>52.62</v>
      </c>
      <c r="AB9" t="s">
        <v>24</v>
      </c>
      <c r="AC9" t="s">
        <v>23</v>
      </c>
      <c r="AD9">
        <v>62.16</v>
      </c>
      <c r="AE9" t="s">
        <v>24</v>
      </c>
      <c r="AF9" t="s">
        <v>23</v>
      </c>
      <c r="AG9" t="s">
        <v>25</v>
      </c>
      <c r="AH9" s="5">
        <f t="shared" si="0"/>
        <v>44226</v>
      </c>
    </row>
    <row r="12" spans="1:34" ht="23.4" x14ac:dyDescent="0.45">
      <c r="A12" s="3" t="s">
        <v>231</v>
      </c>
      <c r="O12" s="4" t="s">
        <v>232</v>
      </c>
    </row>
    <row r="13" spans="1:34" x14ac:dyDescent="0.3">
      <c r="B13" t="s">
        <v>233</v>
      </c>
      <c r="C13">
        <f>L20</f>
        <v>128.69999999999999</v>
      </c>
      <c r="F13" t="s">
        <v>234</v>
      </c>
      <c r="G13" s="5">
        <f>C15</f>
        <v>0.3506811989100817</v>
      </c>
      <c r="M13" s="5"/>
      <c r="P13" t="s">
        <v>233</v>
      </c>
      <c r="Q13">
        <f>Z20</f>
        <v>7.9000000000000015E-2</v>
      </c>
      <c r="T13" t="s">
        <v>234</v>
      </c>
      <c r="U13" s="5">
        <f>Q15</f>
        <v>2.152588555858311E-4</v>
      </c>
      <c r="AA13" s="7"/>
    </row>
    <row r="14" spans="1:34" x14ac:dyDescent="0.3">
      <c r="B14" t="s">
        <v>2</v>
      </c>
      <c r="C14" s="5">
        <f>M20</f>
        <v>367</v>
      </c>
      <c r="F14" t="s">
        <v>235</v>
      </c>
      <c r="G14" s="8">
        <v>9.6699999999999998E-3</v>
      </c>
      <c r="M14" s="5"/>
      <c r="P14" t="s">
        <v>2</v>
      </c>
      <c r="Q14" s="5">
        <f>AA20</f>
        <v>367</v>
      </c>
      <c r="T14" t="s">
        <v>235</v>
      </c>
      <c r="U14" s="8">
        <v>9.6699999999999998E-3</v>
      </c>
      <c r="AA14" s="7"/>
    </row>
    <row r="15" spans="1:34" x14ac:dyDescent="0.3">
      <c r="B15" t="s">
        <v>236</v>
      </c>
      <c r="C15" s="5">
        <f>C13/C14</f>
        <v>0.3506811989100817</v>
      </c>
      <c r="F15" t="s">
        <v>237</v>
      </c>
      <c r="G15">
        <f>22.4*10^-3</f>
        <v>2.24E-2</v>
      </c>
      <c r="M15" s="5"/>
      <c r="P15" t="s">
        <v>236</v>
      </c>
      <c r="Q15" s="9">
        <f>Q13/Q14</f>
        <v>2.152588555858311E-4</v>
      </c>
      <c r="T15" t="s">
        <v>237</v>
      </c>
      <c r="U15">
        <f>22.4*10^-3</f>
        <v>2.24E-2</v>
      </c>
      <c r="AA15" s="7"/>
    </row>
    <row r="16" spans="1:34" x14ac:dyDescent="0.3">
      <c r="F16" s="10" t="s">
        <v>238</v>
      </c>
      <c r="G16" s="10">
        <v>12.8</v>
      </c>
      <c r="H16" t="s">
        <v>239</v>
      </c>
      <c r="I16">
        <f>G16+273</f>
        <v>285.8</v>
      </c>
      <c r="M16" s="5"/>
      <c r="T16" s="10" t="s">
        <v>238</v>
      </c>
      <c r="U16" s="10">
        <v>12.8</v>
      </c>
      <c r="V16" t="s">
        <v>239</v>
      </c>
      <c r="W16">
        <f>U16+273</f>
        <v>285.8</v>
      </c>
      <c r="AA16" s="7"/>
    </row>
    <row r="17" spans="6:27" x14ac:dyDescent="0.3">
      <c r="F17" t="s">
        <v>240</v>
      </c>
      <c r="G17">
        <v>273</v>
      </c>
      <c r="M17" s="5"/>
      <c r="T17" t="s">
        <v>240</v>
      </c>
      <c r="U17">
        <v>273</v>
      </c>
      <c r="AA17" s="7"/>
    </row>
    <row r="18" spans="6:27" x14ac:dyDescent="0.3">
      <c r="F18" t="s">
        <v>241</v>
      </c>
      <c r="G18">
        <v>3.1399999999999997E-2</v>
      </c>
      <c r="M18" s="5"/>
      <c r="T18" t="s">
        <v>241</v>
      </c>
      <c r="U18">
        <v>3.1399999999999997E-2</v>
      </c>
      <c r="AA18" s="7"/>
    </row>
    <row r="19" spans="6:27" x14ac:dyDescent="0.3">
      <c r="L19" s="14" t="s">
        <v>247</v>
      </c>
      <c r="M19" s="15" t="s">
        <v>248</v>
      </c>
      <c r="Z19" s="14" t="s">
        <v>249</v>
      </c>
      <c r="AA19" s="16" t="s">
        <v>248</v>
      </c>
    </row>
    <row r="20" spans="6:27" x14ac:dyDescent="0.3">
      <c r="F20" t="s">
        <v>242</v>
      </c>
      <c r="G20">
        <f>G17/I16</f>
        <v>0.95521343596920916</v>
      </c>
      <c r="L20">
        <f>I9-I3</f>
        <v>128.69999999999999</v>
      </c>
      <c r="M20" s="7">
        <f>AH9-AH3</f>
        <v>367</v>
      </c>
      <c r="T20" t="s">
        <v>242</v>
      </c>
      <c r="U20">
        <f>U17/W16</f>
        <v>0.95521343596920916</v>
      </c>
      <c r="Z20">
        <f>O9-O3</f>
        <v>7.9000000000000015E-2</v>
      </c>
      <c r="AA20" s="7">
        <f>AH9-AH3</f>
        <v>367</v>
      </c>
    </row>
    <row r="21" spans="6:27" x14ac:dyDescent="0.3">
      <c r="F21" t="s">
        <v>243</v>
      </c>
      <c r="G21">
        <f>1/G18</f>
        <v>31.847133757961785</v>
      </c>
      <c r="M21" s="11">
        <f>M20/60</f>
        <v>6.1166666666666663</v>
      </c>
      <c r="T21" t="s">
        <v>243</v>
      </c>
      <c r="U21">
        <f>1/U18</f>
        <v>31.847133757961785</v>
      </c>
      <c r="AA21" s="11"/>
    </row>
    <row r="22" spans="6:27" x14ac:dyDescent="0.3">
      <c r="F22" t="s">
        <v>244</v>
      </c>
      <c r="G22">
        <f>G15/G20</f>
        <v>2.3450256410256411E-2</v>
      </c>
      <c r="T22" t="s">
        <v>244</v>
      </c>
      <c r="U22">
        <f>U15/U20</f>
        <v>2.3450256410256411E-2</v>
      </c>
      <c r="AA22" s="7"/>
    </row>
    <row r="23" spans="6:27" x14ac:dyDescent="0.3">
      <c r="L23" s="6">
        <f>(L20/M20)*(G14/G15)/G18</f>
        <v>4.821268189064619</v>
      </c>
      <c r="Z23" s="6">
        <f>(Z20/AA20)*(U14/U15)/U18</f>
        <v>2.9594420119355477E-3</v>
      </c>
      <c r="AA23" s="7"/>
    </row>
    <row r="24" spans="6:27" x14ac:dyDescent="0.3">
      <c r="F24" s="10">
        <f>(G13)*(G14/G22)*(G21)</f>
        <v>4.6053401526054607</v>
      </c>
      <c r="T24" s="10">
        <f>(U13)*(U14/U22)*(U21)</f>
        <v>2.8268987727725838E-3</v>
      </c>
      <c r="AA24" s="7"/>
    </row>
    <row r="26" spans="6:27" x14ac:dyDescent="0.3">
      <c r="Y26" s="12" t="s">
        <v>245</v>
      </c>
      <c r="Z26" s="12">
        <f>Z23*298</f>
        <v>0.88191371955679321</v>
      </c>
      <c r="AA26" s="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7E8A0-A4ED-433D-9B04-546CDB7934EF}">
  <dimension ref="A1:AH26"/>
  <sheetViews>
    <sheetView topLeftCell="D7" workbookViewId="0">
      <selection activeCell="Z26" sqref="Z26"/>
    </sheetView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</v>
      </c>
      <c r="K1" t="s">
        <v>7</v>
      </c>
      <c r="L1" t="s">
        <v>9</v>
      </c>
      <c r="M1" t="s">
        <v>6</v>
      </c>
      <c r="N1" t="s">
        <v>7</v>
      </c>
      <c r="O1" t="s">
        <v>10</v>
      </c>
      <c r="P1" t="s">
        <v>6</v>
      </c>
      <c r="Q1" t="s">
        <v>7</v>
      </c>
      <c r="R1" t="s">
        <v>11</v>
      </c>
      <c r="S1" t="s">
        <v>6</v>
      </c>
      <c r="T1" t="s">
        <v>7</v>
      </c>
      <c r="U1" t="s">
        <v>12</v>
      </c>
      <c r="V1" t="s">
        <v>6</v>
      </c>
      <c r="W1" t="s">
        <v>7</v>
      </c>
      <c r="X1" t="s">
        <v>13</v>
      </c>
      <c r="Y1" t="s">
        <v>6</v>
      </c>
      <c r="Z1" t="s">
        <v>7</v>
      </c>
      <c r="AA1" t="s">
        <v>14</v>
      </c>
      <c r="AB1" t="s">
        <v>6</v>
      </c>
      <c r="AC1" t="s">
        <v>7</v>
      </c>
      <c r="AD1" t="s">
        <v>15</v>
      </c>
      <c r="AE1" t="s">
        <v>6</v>
      </c>
      <c r="AF1" t="s">
        <v>7</v>
      </c>
      <c r="AG1" t="s">
        <v>16</v>
      </c>
      <c r="AH1" t="s">
        <v>246</v>
      </c>
    </row>
    <row r="2" spans="1:34" x14ac:dyDescent="0.3">
      <c r="A2">
        <v>0</v>
      </c>
      <c r="B2" s="1">
        <v>45777</v>
      </c>
      <c r="C2" s="2">
        <v>0.51408564814814817</v>
      </c>
      <c r="D2" t="s">
        <v>102</v>
      </c>
      <c r="E2" t="s">
        <v>18</v>
      </c>
      <c r="F2">
        <v>1.78</v>
      </c>
      <c r="G2" t="s">
        <v>19</v>
      </c>
      <c r="H2" t="s">
        <v>20</v>
      </c>
      <c r="I2">
        <v>495.31</v>
      </c>
      <c r="J2" t="s">
        <v>21</v>
      </c>
      <c r="K2" t="s">
        <v>20</v>
      </c>
      <c r="L2">
        <v>1.0720000000000001</v>
      </c>
      <c r="M2" t="s">
        <v>21</v>
      </c>
      <c r="N2" t="s">
        <v>20</v>
      </c>
      <c r="O2">
        <v>0.43930000000000002</v>
      </c>
      <c r="P2" t="s">
        <v>21</v>
      </c>
      <c r="Q2" t="s">
        <v>20</v>
      </c>
      <c r="R2">
        <v>0</v>
      </c>
      <c r="S2" t="s">
        <v>21</v>
      </c>
      <c r="T2" t="s">
        <v>20</v>
      </c>
      <c r="U2">
        <v>2.16</v>
      </c>
      <c r="V2" t="s">
        <v>21</v>
      </c>
      <c r="W2" t="s">
        <v>20</v>
      </c>
      <c r="X2">
        <v>1021</v>
      </c>
      <c r="Y2" t="s">
        <v>22</v>
      </c>
      <c r="Z2" t="s">
        <v>23</v>
      </c>
      <c r="AA2">
        <v>52.94</v>
      </c>
      <c r="AB2" t="s">
        <v>24</v>
      </c>
      <c r="AC2" t="s">
        <v>23</v>
      </c>
      <c r="AD2">
        <v>62.68</v>
      </c>
      <c r="AE2" t="s">
        <v>24</v>
      </c>
      <c r="AF2" t="s">
        <v>23</v>
      </c>
      <c r="AG2" t="s">
        <v>25</v>
      </c>
      <c r="AH2" s="5">
        <f>HOUR(C2)*3600 + MINUTE(C2)*60 + SECOND(C2)</f>
        <v>44417</v>
      </c>
    </row>
    <row r="3" spans="1:34" x14ac:dyDescent="0.3">
      <c r="A3">
        <v>0</v>
      </c>
      <c r="B3" s="1">
        <v>45777</v>
      </c>
      <c r="C3" s="2">
        <v>0.51479166666666665</v>
      </c>
      <c r="D3" t="s">
        <v>103</v>
      </c>
      <c r="E3" t="s">
        <v>18</v>
      </c>
      <c r="F3">
        <v>1.78</v>
      </c>
      <c r="G3" t="s">
        <v>19</v>
      </c>
      <c r="H3" t="s">
        <v>20</v>
      </c>
      <c r="I3" s="14">
        <v>476.71</v>
      </c>
      <c r="J3" t="s">
        <v>21</v>
      </c>
      <c r="K3" t="s">
        <v>20</v>
      </c>
      <c r="L3">
        <v>1.087</v>
      </c>
      <c r="M3" t="s">
        <v>21</v>
      </c>
      <c r="N3" t="s">
        <v>20</v>
      </c>
      <c r="O3" s="14">
        <v>0.4178</v>
      </c>
      <c r="P3" t="s">
        <v>21</v>
      </c>
      <c r="Q3" t="s">
        <v>20</v>
      </c>
      <c r="R3">
        <v>0</v>
      </c>
      <c r="S3" t="s">
        <v>21</v>
      </c>
      <c r="T3" t="s">
        <v>20</v>
      </c>
      <c r="U3">
        <v>2.1640000000000001</v>
      </c>
      <c r="V3" t="s">
        <v>21</v>
      </c>
      <c r="W3" t="s">
        <v>20</v>
      </c>
      <c r="X3">
        <v>1020.9</v>
      </c>
      <c r="Y3" t="s">
        <v>22</v>
      </c>
      <c r="Z3" t="s">
        <v>23</v>
      </c>
      <c r="AA3">
        <v>52.95</v>
      </c>
      <c r="AB3" t="s">
        <v>24</v>
      </c>
      <c r="AC3" t="s">
        <v>23</v>
      </c>
      <c r="AD3">
        <v>62.65</v>
      </c>
      <c r="AE3" t="s">
        <v>24</v>
      </c>
      <c r="AF3" t="s">
        <v>23</v>
      </c>
      <c r="AG3" t="s">
        <v>25</v>
      </c>
      <c r="AH3" s="5">
        <f t="shared" ref="AH3:AH9" si="0">HOUR(C3)*3600 + MINUTE(C3)*60 + SECOND(C3)</f>
        <v>44478</v>
      </c>
    </row>
    <row r="4" spans="1:34" x14ac:dyDescent="0.3">
      <c r="A4">
        <v>0</v>
      </c>
      <c r="B4" s="1">
        <v>45777</v>
      </c>
      <c r="C4" s="2">
        <v>0.51550925925925928</v>
      </c>
      <c r="D4" t="s">
        <v>104</v>
      </c>
      <c r="E4" t="s">
        <v>18</v>
      </c>
      <c r="F4">
        <v>1.85</v>
      </c>
      <c r="G4" t="s">
        <v>19</v>
      </c>
      <c r="H4" t="s">
        <v>20</v>
      </c>
      <c r="I4" s="14">
        <v>490.33</v>
      </c>
      <c r="J4" t="s">
        <v>21</v>
      </c>
      <c r="K4" t="s">
        <v>20</v>
      </c>
      <c r="L4">
        <v>1.085</v>
      </c>
      <c r="M4" t="s">
        <v>21</v>
      </c>
      <c r="N4" t="s">
        <v>20</v>
      </c>
      <c r="O4" s="14">
        <v>0.42699999999999999</v>
      </c>
      <c r="P4" t="s">
        <v>21</v>
      </c>
      <c r="Q4" t="s">
        <v>20</v>
      </c>
      <c r="R4">
        <v>1.4E-2</v>
      </c>
      <c r="S4" t="s">
        <v>21</v>
      </c>
      <c r="T4" t="s">
        <v>20</v>
      </c>
      <c r="U4">
        <v>2.1379999999999999</v>
      </c>
      <c r="V4" t="s">
        <v>21</v>
      </c>
      <c r="W4" t="s">
        <v>20</v>
      </c>
      <c r="X4">
        <v>1020.9</v>
      </c>
      <c r="Y4" t="s">
        <v>22</v>
      </c>
      <c r="Z4" t="s">
        <v>23</v>
      </c>
      <c r="AA4">
        <v>53</v>
      </c>
      <c r="AB4" t="s">
        <v>24</v>
      </c>
      <c r="AC4" t="s">
        <v>23</v>
      </c>
      <c r="AD4">
        <v>62.73</v>
      </c>
      <c r="AE4" t="s">
        <v>24</v>
      </c>
      <c r="AF4" t="s">
        <v>23</v>
      </c>
      <c r="AG4" t="s">
        <v>25</v>
      </c>
      <c r="AH4" s="5">
        <f t="shared" si="0"/>
        <v>44540</v>
      </c>
    </row>
    <row r="5" spans="1:34" x14ac:dyDescent="0.3">
      <c r="A5">
        <v>0</v>
      </c>
      <c r="B5" s="1">
        <v>45777</v>
      </c>
      <c r="C5" s="2">
        <v>0.51621527777777776</v>
      </c>
      <c r="D5" t="s">
        <v>105</v>
      </c>
      <c r="E5" t="s">
        <v>18</v>
      </c>
      <c r="F5">
        <v>1.9</v>
      </c>
      <c r="G5" t="s">
        <v>19</v>
      </c>
      <c r="H5" t="s">
        <v>20</v>
      </c>
      <c r="I5" s="14">
        <v>506.1</v>
      </c>
      <c r="J5" t="s">
        <v>21</v>
      </c>
      <c r="K5" t="s">
        <v>20</v>
      </c>
      <c r="L5">
        <v>1.135</v>
      </c>
      <c r="M5" t="s">
        <v>21</v>
      </c>
      <c r="N5" t="s">
        <v>20</v>
      </c>
      <c r="O5" s="14">
        <v>0.42980000000000002</v>
      </c>
      <c r="P5" t="s">
        <v>21</v>
      </c>
      <c r="Q5" t="s">
        <v>20</v>
      </c>
      <c r="R5">
        <v>0</v>
      </c>
      <c r="S5" t="s">
        <v>21</v>
      </c>
      <c r="T5" t="s">
        <v>20</v>
      </c>
      <c r="U5">
        <v>2.1389999999999998</v>
      </c>
      <c r="V5" t="s">
        <v>21</v>
      </c>
      <c r="W5" t="s">
        <v>20</v>
      </c>
      <c r="X5">
        <v>1021</v>
      </c>
      <c r="Y5" t="s">
        <v>22</v>
      </c>
      <c r="Z5" t="s">
        <v>23</v>
      </c>
      <c r="AA5">
        <v>53.08</v>
      </c>
      <c r="AB5" t="s">
        <v>24</v>
      </c>
      <c r="AC5" t="s">
        <v>23</v>
      </c>
      <c r="AD5">
        <v>62.7</v>
      </c>
      <c r="AE5" t="s">
        <v>24</v>
      </c>
      <c r="AF5" t="s">
        <v>23</v>
      </c>
      <c r="AG5" t="s">
        <v>25</v>
      </c>
      <c r="AH5" s="5">
        <f t="shared" si="0"/>
        <v>44601</v>
      </c>
    </row>
    <row r="6" spans="1:34" x14ac:dyDescent="0.3">
      <c r="A6">
        <v>0</v>
      </c>
      <c r="B6" s="1">
        <v>45777</v>
      </c>
      <c r="C6" s="2">
        <v>0.51692129629629635</v>
      </c>
      <c r="D6" t="s">
        <v>106</v>
      </c>
      <c r="E6" t="s">
        <v>18</v>
      </c>
      <c r="F6">
        <v>1.95</v>
      </c>
      <c r="G6" t="s">
        <v>19</v>
      </c>
      <c r="H6" t="s">
        <v>20</v>
      </c>
      <c r="I6" s="14">
        <v>521.53</v>
      </c>
      <c r="J6" t="s">
        <v>21</v>
      </c>
      <c r="K6" t="s">
        <v>20</v>
      </c>
      <c r="L6">
        <v>1.1919999999999999</v>
      </c>
      <c r="M6" t="s">
        <v>21</v>
      </c>
      <c r="N6" t="s">
        <v>20</v>
      </c>
      <c r="O6" s="14">
        <v>0.43090000000000001</v>
      </c>
      <c r="P6" t="s">
        <v>21</v>
      </c>
      <c r="Q6" t="s">
        <v>20</v>
      </c>
      <c r="R6">
        <v>0</v>
      </c>
      <c r="S6" t="s">
        <v>21</v>
      </c>
      <c r="T6" t="s">
        <v>20</v>
      </c>
      <c r="U6">
        <v>2.14</v>
      </c>
      <c r="V6" t="s">
        <v>21</v>
      </c>
      <c r="W6" t="s">
        <v>20</v>
      </c>
      <c r="X6">
        <v>1020.9</v>
      </c>
      <c r="Y6" t="s">
        <v>22</v>
      </c>
      <c r="Z6" t="s">
        <v>23</v>
      </c>
      <c r="AA6">
        <v>53.15</v>
      </c>
      <c r="AB6" t="s">
        <v>24</v>
      </c>
      <c r="AC6" t="s">
        <v>23</v>
      </c>
      <c r="AD6">
        <v>62.74</v>
      </c>
      <c r="AE6" t="s">
        <v>24</v>
      </c>
      <c r="AF6" t="s">
        <v>23</v>
      </c>
      <c r="AG6" t="s">
        <v>25</v>
      </c>
      <c r="AH6" s="5">
        <f t="shared" si="0"/>
        <v>44662</v>
      </c>
    </row>
    <row r="7" spans="1:34" x14ac:dyDescent="0.3">
      <c r="A7">
        <v>0</v>
      </c>
      <c r="B7" s="1">
        <v>45777</v>
      </c>
      <c r="C7" s="2">
        <v>0.51762731481481483</v>
      </c>
      <c r="D7" t="s">
        <v>107</v>
      </c>
      <c r="E7" t="s">
        <v>18</v>
      </c>
      <c r="F7">
        <v>1.98</v>
      </c>
      <c r="G7" t="s">
        <v>19</v>
      </c>
      <c r="H7" t="s">
        <v>20</v>
      </c>
      <c r="I7" s="14">
        <v>532.85</v>
      </c>
      <c r="J7" t="s">
        <v>21</v>
      </c>
      <c r="K7" t="s">
        <v>20</v>
      </c>
      <c r="L7">
        <v>1.1850000000000001</v>
      </c>
      <c r="M7" t="s">
        <v>21</v>
      </c>
      <c r="N7" t="s">
        <v>20</v>
      </c>
      <c r="O7" s="14">
        <v>0.43140000000000001</v>
      </c>
      <c r="P7" t="s">
        <v>21</v>
      </c>
      <c r="Q7" t="s">
        <v>20</v>
      </c>
      <c r="R7">
        <v>0</v>
      </c>
      <c r="S7" t="s">
        <v>21</v>
      </c>
      <c r="T7" t="s">
        <v>20</v>
      </c>
      <c r="U7">
        <v>2.133</v>
      </c>
      <c r="V7" t="s">
        <v>21</v>
      </c>
      <c r="W7" t="s">
        <v>20</v>
      </c>
      <c r="X7">
        <v>1021</v>
      </c>
      <c r="Y7" t="s">
        <v>22</v>
      </c>
      <c r="Z7" t="s">
        <v>23</v>
      </c>
      <c r="AA7">
        <v>53.19</v>
      </c>
      <c r="AB7" t="s">
        <v>24</v>
      </c>
      <c r="AC7" t="s">
        <v>23</v>
      </c>
      <c r="AD7">
        <v>62.78</v>
      </c>
      <c r="AE7" t="s">
        <v>24</v>
      </c>
      <c r="AF7" t="s">
        <v>23</v>
      </c>
      <c r="AG7" t="s">
        <v>25</v>
      </c>
      <c r="AH7" s="5">
        <f t="shared" si="0"/>
        <v>44723</v>
      </c>
    </row>
    <row r="8" spans="1:34" x14ac:dyDescent="0.3">
      <c r="A8">
        <v>0</v>
      </c>
      <c r="B8" s="1">
        <v>45777</v>
      </c>
      <c r="C8" s="2">
        <v>0.51833333333333331</v>
      </c>
      <c r="D8" t="s">
        <v>108</v>
      </c>
      <c r="E8" t="s">
        <v>18</v>
      </c>
      <c r="F8">
        <v>2.02</v>
      </c>
      <c r="G8" t="s">
        <v>19</v>
      </c>
      <c r="H8" t="s">
        <v>20</v>
      </c>
      <c r="I8" s="14">
        <v>542.79</v>
      </c>
      <c r="J8" t="s">
        <v>21</v>
      </c>
      <c r="K8" t="s">
        <v>20</v>
      </c>
      <c r="L8">
        <v>1.1399999999999999</v>
      </c>
      <c r="M8" t="s">
        <v>21</v>
      </c>
      <c r="N8" t="s">
        <v>20</v>
      </c>
      <c r="O8" s="14">
        <v>0.42759999999999998</v>
      </c>
      <c r="P8" t="s">
        <v>21</v>
      </c>
      <c r="Q8" t="s">
        <v>20</v>
      </c>
      <c r="R8">
        <v>1.7999999999999999E-2</v>
      </c>
      <c r="S8" t="s">
        <v>21</v>
      </c>
      <c r="T8" t="s">
        <v>20</v>
      </c>
      <c r="U8">
        <v>2.1269999999999998</v>
      </c>
      <c r="V8" t="s">
        <v>21</v>
      </c>
      <c r="W8" t="s">
        <v>20</v>
      </c>
      <c r="X8">
        <v>1021</v>
      </c>
      <c r="Y8" t="s">
        <v>22</v>
      </c>
      <c r="Z8" t="s">
        <v>23</v>
      </c>
      <c r="AA8">
        <v>53.21</v>
      </c>
      <c r="AB8" t="s">
        <v>24</v>
      </c>
      <c r="AC8" t="s">
        <v>23</v>
      </c>
      <c r="AD8">
        <v>62.73</v>
      </c>
      <c r="AE8" t="s">
        <v>24</v>
      </c>
      <c r="AF8" t="s">
        <v>23</v>
      </c>
      <c r="AG8" t="s">
        <v>25</v>
      </c>
      <c r="AH8" s="5">
        <f t="shared" si="0"/>
        <v>44784</v>
      </c>
    </row>
    <row r="9" spans="1:34" x14ac:dyDescent="0.3">
      <c r="A9">
        <v>0</v>
      </c>
      <c r="B9" s="1">
        <v>45777</v>
      </c>
      <c r="C9" s="2">
        <v>0.5190393518518519</v>
      </c>
      <c r="D9" t="s">
        <v>109</v>
      </c>
      <c r="E9" t="s">
        <v>18</v>
      </c>
      <c r="F9">
        <v>2.06</v>
      </c>
      <c r="G9" t="s">
        <v>19</v>
      </c>
      <c r="H9" t="s">
        <v>20</v>
      </c>
      <c r="I9" s="14">
        <v>556.27</v>
      </c>
      <c r="J9" t="s">
        <v>21</v>
      </c>
      <c r="K9" t="s">
        <v>20</v>
      </c>
      <c r="L9">
        <v>1.2</v>
      </c>
      <c r="M9" t="s">
        <v>21</v>
      </c>
      <c r="N9" t="s">
        <v>20</v>
      </c>
      <c r="O9" s="14">
        <v>0.4375</v>
      </c>
      <c r="P9" t="s">
        <v>21</v>
      </c>
      <c r="Q9" t="s">
        <v>20</v>
      </c>
      <c r="R9">
        <v>0</v>
      </c>
      <c r="S9" t="s">
        <v>21</v>
      </c>
      <c r="T9" t="s">
        <v>20</v>
      </c>
      <c r="U9">
        <v>2.1339999999999999</v>
      </c>
      <c r="V9" t="s">
        <v>21</v>
      </c>
      <c r="W9" t="s">
        <v>20</v>
      </c>
      <c r="X9">
        <v>1020.9</v>
      </c>
      <c r="Y9" t="s">
        <v>22</v>
      </c>
      <c r="Z9" t="s">
        <v>23</v>
      </c>
      <c r="AA9">
        <v>53.17</v>
      </c>
      <c r="AB9" t="s">
        <v>24</v>
      </c>
      <c r="AC9" t="s">
        <v>23</v>
      </c>
      <c r="AD9">
        <v>62.69</v>
      </c>
      <c r="AE9" t="s">
        <v>24</v>
      </c>
      <c r="AF9" t="s">
        <v>23</v>
      </c>
      <c r="AG9" t="s">
        <v>25</v>
      </c>
      <c r="AH9" s="5">
        <f t="shared" si="0"/>
        <v>44845</v>
      </c>
    </row>
    <row r="12" spans="1:34" ht="23.4" x14ac:dyDescent="0.45">
      <c r="A12" s="3" t="s">
        <v>231</v>
      </c>
      <c r="O12" s="4" t="s">
        <v>232</v>
      </c>
    </row>
    <row r="13" spans="1:34" x14ac:dyDescent="0.3">
      <c r="B13" t="s">
        <v>233</v>
      </c>
      <c r="C13">
        <f>L20</f>
        <v>79.56</v>
      </c>
      <c r="F13" t="s">
        <v>234</v>
      </c>
      <c r="G13" s="5">
        <f>C15</f>
        <v>0.21678474114441418</v>
      </c>
      <c r="M13" s="5"/>
      <c r="P13" t="s">
        <v>233</v>
      </c>
      <c r="Q13">
        <f>Z20</f>
        <v>1.9699999999999995E-2</v>
      </c>
      <c r="T13" t="s">
        <v>234</v>
      </c>
      <c r="U13" s="5">
        <f>Q15</f>
        <v>5.3678474114441402E-5</v>
      </c>
      <c r="AA13" s="7"/>
    </row>
    <row r="14" spans="1:34" x14ac:dyDescent="0.3">
      <c r="B14" t="s">
        <v>2</v>
      </c>
      <c r="C14" s="5">
        <f>M20</f>
        <v>367</v>
      </c>
      <c r="F14" t="s">
        <v>235</v>
      </c>
      <c r="G14" s="8">
        <v>9.6699999999999998E-3</v>
      </c>
      <c r="M14" s="5"/>
      <c r="P14" t="s">
        <v>2</v>
      </c>
      <c r="Q14" s="5">
        <f>AA20</f>
        <v>367</v>
      </c>
      <c r="T14" t="s">
        <v>235</v>
      </c>
      <c r="U14" s="8">
        <v>9.6699999999999998E-3</v>
      </c>
      <c r="AA14" s="7"/>
    </row>
    <row r="15" spans="1:34" x14ac:dyDescent="0.3">
      <c r="B15" t="s">
        <v>236</v>
      </c>
      <c r="C15" s="5">
        <f>C13/C14</f>
        <v>0.21678474114441418</v>
      </c>
      <c r="F15" t="s">
        <v>237</v>
      </c>
      <c r="G15">
        <f>22.4*10^-3</f>
        <v>2.24E-2</v>
      </c>
      <c r="M15" s="5"/>
      <c r="P15" t="s">
        <v>236</v>
      </c>
      <c r="Q15" s="9">
        <f>Q13/Q14</f>
        <v>5.3678474114441402E-5</v>
      </c>
      <c r="T15" t="s">
        <v>237</v>
      </c>
      <c r="U15">
        <f>22.4*10^-3</f>
        <v>2.24E-2</v>
      </c>
      <c r="AA15" s="7"/>
    </row>
    <row r="16" spans="1:34" x14ac:dyDescent="0.3">
      <c r="F16" s="10" t="s">
        <v>238</v>
      </c>
      <c r="G16" s="10">
        <v>12.8</v>
      </c>
      <c r="H16" t="s">
        <v>239</v>
      </c>
      <c r="I16">
        <f>G16+273</f>
        <v>285.8</v>
      </c>
      <c r="M16" s="5"/>
      <c r="T16" s="10" t="s">
        <v>238</v>
      </c>
      <c r="U16" s="10">
        <v>12.8</v>
      </c>
      <c r="V16" t="s">
        <v>239</v>
      </c>
      <c r="W16">
        <f>U16+273</f>
        <v>285.8</v>
      </c>
      <c r="AA16" s="7"/>
    </row>
    <row r="17" spans="6:27" x14ac:dyDescent="0.3">
      <c r="F17" t="s">
        <v>240</v>
      </c>
      <c r="G17">
        <v>273</v>
      </c>
      <c r="M17" s="5"/>
      <c r="T17" t="s">
        <v>240</v>
      </c>
      <c r="U17">
        <v>273</v>
      </c>
      <c r="AA17" s="7"/>
    </row>
    <row r="18" spans="6:27" x14ac:dyDescent="0.3">
      <c r="F18" t="s">
        <v>241</v>
      </c>
      <c r="G18">
        <v>3.1399999999999997E-2</v>
      </c>
      <c r="M18" s="5"/>
      <c r="T18" t="s">
        <v>241</v>
      </c>
      <c r="U18">
        <v>3.1399999999999997E-2</v>
      </c>
      <c r="AA18" s="7"/>
    </row>
    <row r="19" spans="6:27" x14ac:dyDescent="0.3">
      <c r="L19" s="14" t="s">
        <v>247</v>
      </c>
      <c r="M19" s="15" t="s">
        <v>248</v>
      </c>
      <c r="Z19" s="14" t="s">
        <v>249</v>
      </c>
      <c r="AA19" s="16" t="s">
        <v>248</v>
      </c>
    </row>
    <row r="20" spans="6:27" x14ac:dyDescent="0.3">
      <c r="F20" t="s">
        <v>242</v>
      </c>
      <c r="G20">
        <f>G17/I16</f>
        <v>0.95521343596920916</v>
      </c>
      <c r="L20">
        <f>I9-I3</f>
        <v>79.56</v>
      </c>
      <c r="M20" s="7">
        <f>AH9-AH3</f>
        <v>367</v>
      </c>
      <c r="T20" t="s">
        <v>242</v>
      </c>
      <c r="U20">
        <f>U17/W16</f>
        <v>0.95521343596920916</v>
      </c>
      <c r="Z20">
        <f>O9-O3</f>
        <v>1.9699999999999995E-2</v>
      </c>
      <c r="AA20" s="7">
        <f>AH9-AH3</f>
        <v>367</v>
      </c>
    </row>
    <row r="21" spans="6:27" x14ac:dyDescent="0.3">
      <c r="F21" t="s">
        <v>243</v>
      </c>
      <c r="G21">
        <f>1/G18</f>
        <v>31.847133757961785</v>
      </c>
      <c r="M21" s="11">
        <f>M20/60</f>
        <v>6.1166666666666663</v>
      </c>
      <c r="T21" t="s">
        <v>243</v>
      </c>
      <c r="U21">
        <f>1/U18</f>
        <v>31.847133757961785</v>
      </c>
      <c r="AA21" s="11"/>
    </row>
    <row r="22" spans="6:27" x14ac:dyDescent="0.3">
      <c r="F22" t="s">
        <v>244</v>
      </c>
      <c r="G22">
        <f>G15/G20</f>
        <v>2.3450256410256411E-2</v>
      </c>
      <c r="T22" t="s">
        <v>244</v>
      </c>
      <c r="U22">
        <f>U15/U20</f>
        <v>2.3450256410256411E-2</v>
      </c>
      <c r="AA22" s="7"/>
    </row>
    <row r="23" spans="6:27" x14ac:dyDescent="0.3">
      <c r="L23" s="6">
        <f>(L20/M20)*(G14/G15)/G18</f>
        <v>2.9804203350581289</v>
      </c>
      <c r="Z23" s="6">
        <f>(Z20/AA20)*(U14/U15)/U18</f>
        <v>7.3798743841937042E-4</v>
      </c>
      <c r="AA23" s="7"/>
    </row>
    <row r="24" spans="6:27" x14ac:dyDescent="0.3">
      <c r="F24" s="10">
        <f>(G13)*(G14/G22)*(G21)</f>
        <v>2.8469375488833766</v>
      </c>
      <c r="T24" s="10">
        <f>(U13)*(U14/U22)*(U21)</f>
        <v>7.0493551675468197E-4</v>
      </c>
      <c r="AA24" s="7"/>
    </row>
    <row r="26" spans="6:27" x14ac:dyDescent="0.3">
      <c r="Y26" s="12" t="s">
        <v>245</v>
      </c>
      <c r="Z26" s="12">
        <f>Z23*298</f>
        <v>0.21992025664897238</v>
      </c>
      <c r="AA26" s="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ED455-BEDF-409B-B52D-078BE62FD63D}">
  <dimension ref="A1:AH26"/>
  <sheetViews>
    <sheetView topLeftCell="C1" workbookViewId="0">
      <selection activeCell="Z26" sqref="Z26"/>
    </sheetView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</v>
      </c>
      <c r="K1" t="s">
        <v>7</v>
      </c>
      <c r="L1" t="s">
        <v>9</v>
      </c>
      <c r="M1" t="s">
        <v>6</v>
      </c>
      <c r="N1" t="s">
        <v>7</v>
      </c>
      <c r="O1" t="s">
        <v>10</v>
      </c>
      <c r="P1" t="s">
        <v>6</v>
      </c>
      <c r="Q1" t="s">
        <v>7</v>
      </c>
      <c r="R1" t="s">
        <v>11</v>
      </c>
      <c r="S1" t="s">
        <v>6</v>
      </c>
      <c r="T1" t="s">
        <v>7</v>
      </c>
      <c r="U1" t="s">
        <v>12</v>
      </c>
      <c r="V1" t="s">
        <v>6</v>
      </c>
      <c r="W1" t="s">
        <v>7</v>
      </c>
      <c r="X1" t="s">
        <v>13</v>
      </c>
      <c r="Y1" t="s">
        <v>6</v>
      </c>
      <c r="Z1" t="s">
        <v>7</v>
      </c>
      <c r="AA1" t="s">
        <v>14</v>
      </c>
      <c r="AB1" t="s">
        <v>6</v>
      </c>
      <c r="AC1" t="s">
        <v>7</v>
      </c>
      <c r="AD1" t="s">
        <v>15</v>
      </c>
      <c r="AE1" t="s">
        <v>6</v>
      </c>
      <c r="AF1" t="s">
        <v>7</v>
      </c>
      <c r="AG1" t="s">
        <v>16</v>
      </c>
      <c r="AH1" t="s">
        <v>246</v>
      </c>
    </row>
    <row r="2" spans="1:34" x14ac:dyDescent="0.3">
      <c r="A2">
        <v>0</v>
      </c>
      <c r="B2" s="1">
        <v>45777</v>
      </c>
      <c r="C2" s="2">
        <v>0.52101851851851855</v>
      </c>
      <c r="D2" t="s">
        <v>110</v>
      </c>
      <c r="E2" t="s">
        <v>18</v>
      </c>
      <c r="F2">
        <v>1.76</v>
      </c>
      <c r="G2" t="s">
        <v>19</v>
      </c>
      <c r="H2" t="s">
        <v>20</v>
      </c>
      <c r="I2">
        <v>516.05999999999995</v>
      </c>
      <c r="J2" t="s">
        <v>21</v>
      </c>
      <c r="K2" t="s">
        <v>20</v>
      </c>
      <c r="L2">
        <v>1.34</v>
      </c>
      <c r="M2" t="s">
        <v>21</v>
      </c>
      <c r="N2" t="s">
        <v>20</v>
      </c>
      <c r="O2">
        <v>0.63470000000000004</v>
      </c>
      <c r="P2" t="s">
        <v>21</v>
      </c>
      <c r="Q2" t="s">
        <v>20</v>
      </c>
      <c r="R2">
        <v>1.6E-2</v>
      </c>
      <c r="S2" t="s">
        <v>21</v>
      </c>
      <c r="T2" t="s">
        <v>20</v>
      </c>
      <c r="U2">
        <v>2.1469999999999998</v>
      </c>
      <c r="V2" t="s">
        <v>21</v>
      </c>
      <c r="W2" t="s">
        <v>20</v>
      </c>
      <c r="X2">
        <v>1020.9</v>
      </c>
      <c r="Y2" t="s">
        <v>22</v>
      </c>
      <c r="Z2" t="s">
        <v>23</v>
      </c>
      <c r="AA2">
        <v>53.06</v>
      </c>
      <c r="AB2" t="s">
        <v>24</v>
      </c>
      <c r="AC2" t="s">
        <v>23</v>
      </c>
      <c r="AD2">
        <v>62.36</v>
      </c>
      <c r="AE2" t="s">
        <v>24</v>
      </c>
      <c r="AF2" t="s">
        <v>23</v>
      </c>
      <c r="AG2" t="s">
        <v>25</v>
      </c>
      <c r="AH2" s="5">
        <f>HOUR(C2)*3600 + MINUTE(C2)*60 + SECOND(C2)</f>
        <v>45016</v>
      </c>
    </row>
    <row r="3" spans="1:34" x14ac:dyDescent="0.3">
      <c r="A3">
        <v>0</v>
      </c>
      <c r="B3" s="1">
        <v>45777</v>
      </c>
      <c r="C3" s="2">
        <v>0.52173611111111107</v>
      </c>
      <c r="D3" t="s">
        <v>111</v>
      </c>
      <c r="E3" t="s">
        <v>18</v>
      </c>
      <c r="F3">
        <v>1.75</v>
      </c>
      <c r="G3" t="s">
        <v>19</v>
      </c>
      <c r="H3" t="s">
        <v>20</v>
      </c>
      <c r="I3" s="14">
        <v>554.26</v>
      </c>
      <c r="J3" t="s">
        <v>21</v>
      </c>
      <c r="K3" t="s">
        <v>20</v>
      </c>
      <c r="L3">
        <v>1.3720000000000001</v>
      </c>
      <c r="M3" t="s">
        <v>21</v>
      </c>
      <c r="N3" t="s">
        <v>20</v>
      </c>
      <c r="O3" s="14">
        <v>0.87649999999999995</v>
      </c>
      <c r="P3" t="s">
        <v>21</v>
      </c>
      <c r="Q3" t="s">
        <v>20</v>
      </c>
      <c r="R3">
        <v>2.8000000000000001E-2</v>
      </c>
      <c r="S3" t="s">
        <v>21</v>
      </c>
      <c r="T3" t="s">
        <v>20</v>
      </c>
      <c r="U3">
        <v>2.137</v>
      </c>
      <c r="V3" t="s">
        <v>21</v>
      </c>
      <c r="W3" t="s">
        <v>20</v>
      </c>
      <c r="X3">
        <v>1020.9</v>
      </c>
      <c r="Y3" t="s">
        <v>22</v>
      </c>
      <c r="Z3" t="s">
        <v>23</v>
      </c>
      <c r="AA3">
        <v>52.94</v>
      </c>
      <c r="AB3" t="s">
        <v>24</v>
      </c>
      <c r="AC3" t="s">
        <v>23</v>
      </c>
      <c r="AD3">
        <v>62.12</v>
      </c>
      <c r="AE3" t="s">
        <v>24</v>
      </c>
      <c r="AF3" t="s">
        <v>23</v>
      </c>
      <c r="AG3" t="s">
        <v>25</v>
      </c>
      <c r="AH3" s="5">
        <f t="shared" ref="AH3:AH9" si="0">HOUR(C3)*3600 + MINUTE(C3)*60 + SECOND(C3)</f>
        <v>45078</v>
      </c>
    </row>
    <row r="4" spans="1:34" x14ac:dyDescent="0.3">
      <c r="A4">
        <v>0</v>
      </c>
      <c r="B4" s="1">
        <v>45777</v>
      </c>
      <c r="C4" s="2">
        <v>0.52244212962962966</v>
      </c>
      <c r="D4" t="s">
        <v>112</v>
      </c>
      <c r="E4" t="s">
        <v>18</v>
      </c>
      <c r="F4">
        <v>1.84</v>
      </c>
      <c r="G4" t="s">
        <v>19</v>
      </c>
      <c r="H4" t="s">
        <v>20</v>
      </c>
      <c r="I4" s="14">
        <v>607.01</v>
      </c>
      <c r="J4" t="s">
        <v>21</v>
      </c>
      <c r="K4" t="s">
        <v>20</v>
      </c>
      <c r="L4">
        <v>1.4359999999999999</v>
      </c>
      <c r="M4" t="s">
        <v>21</v>
      </c>
      <c r="N4" t="s">
        <v>20</v>
      </c>
      <c r="O4" s="14">
        <v>1.0665</v>
      </c>
      <c r="P4" t="s">
        <v>21</v>
      </c>
      <c r="Q4" t="s">
        <v>20</v>
      </c>
      <c r="R4">
        <v>2.5999999999999999E-2</v>
      </c>
      <c r="S4" t="s">
        <v>21</v>
      </c>
      <c r="T4" t="s">
        <v>20</v>
      </c>
      <c r="U4">
        <v>2.1320000000000001</v>
      </c>
      <c r="V4" t="s">
        <v>21</v>
      </c>
      <c r="W4" t="s">
        <v>20</v>
      </c>
      <c r="X4">
        <v>1020.7</v>
      </c>
      <c r="Y4" t="s">
        <v>22</v>
      </c>
      <c r="Z4" t="s">
        <v>23</v>
      </c>
      <c r="AA4">
        <v>52.91</v>
      </c>
      <c r="AB4" t="s">
        <v>24</v>
      </c>
      <c r="AC4" t="s">
        <v>23</v>
      </c>
      <c r="AD4">
        <v>62.01</v>
      </c>
      <c r="AE4" t="s">
        <v>24</v>
      </c>
      <c r="AF4" t="s">
        <v>23</v>
      </c>
      <c r="AG4" t="s">
        <v>25</v>
      </c>
      <c r="AH4" s="5">
        <f t="shared" si="0"/>
        <v>45139</v>
      </c>
    </row>
    <row r="5" spans="1:34" x14ac:dyDescent="0.3">
      <c r="A5">
        <v>0</v>
      </c>
      <c r="B5" s="1">
        <v>45777</v>
      </c>
      <c r="C5" s="2">
        <v>0.5231365740740741</v>
      </c>
      <c r="D5" t="s">
        <v>113</v>
      </c>
      <c r="E5" t="s">
        <v>18</v>
      </c>
      <c r="F5">
        <v>1.92</v>
      </c>
      <c r="G5" t="s">
        <v>19</v>
      </c>
      <c r="H5" t="s">
        <v>20</v>
      </c>
      <c r="I5" s="14">
        <v>661.02</v>
      </c>
      <c r="J5" t="s">
        <v>21</v>
      </c>
      <c r="K5" t="s">
        <v>20</v>
      </c>
      <c r="L5">
        <v>1.4790000000000001</v>
      </c>
      <c r="M5" t="s">
        <v>21</v>
      </c>
      <c r="N5" t="s">
        <v>20</v>
      </c>
      <c r="O5" s="14">
        <v>1.2502</v>
      </c>
      <c r="P5" t="s">
        <v>21</v>
      </c>
      <c r="Q5" t="s">
        <v>20</v>
      </c>
      <c r="R5">
        <v>4.1000000000000002E-2</v>
      </c>
      <c r="S5" t="s">
        <v>21</v>
      </c>
      <c r="T5" t="s">
        <v>20</v>
      </c>
      <c r="U5">
        <v>2.1459999999999999</v>
      </c>
      <c r="V5" t="s">
        <v>21</v>
      </c>
      <c r="W5" t="s">
        <v>20</v>
      </c>
      <c r="X5">
        <v>1020.8</v>
      </c>
      <c r="Y5" t="s">
        <v>22</v>
      </c>
      <c r="Z5" t="s">
        <v>23</v>
      </c>
      <c r="AA5">
        <v>53</v>
      </c>
      <c r="AB5" t="s">
        <v>24</v>
      </c>
      <c r="AC5" t="s">
        <v>23</v>
      </c>
      <c r="AD5">
        <v>62.03</v>
      </c>
      <c r="AE5" t="s">
        <v>24</v>
      </c>
      <c r="AF5" t="s">
        <v>23</v>
      </c>
      <c r="AG5" t="s">
        <v>25</v>
      </c>
      <c r="AH5" s="5">
        <f t="shared" si="0"/>
        <v>45199</v>
      </c>
    </row>
    <row r="6" spans="1:34" x14ac:dyDescent="0.3">
      <c r="A6">
        <v>0</v>
      </c>
      <c r="B6" s="1">
        <v>45777</v>
      </c>
      <c r="C6" s="2">
        <v>0.52384259259259258</v>
      </c>
      <c r="D6" t="s">
        <v>114</v>
      </c>
      <c r="E6" t="s">
        <v>18</v>
      </c>
      <c r="F6">
        <v>1.98</v>
      </c>
      <c r="G6" t="s">
        <v>19</v>
      </c>
      <c r="H6" t="s">
        <v>20</v>
      </c>
      <c r="I6" s="14">
        <v>704.84</v>
      </c>
      <c r="J6" t="s">
        <v>21</v>
      </c>
      <c r="K6" t="s">
        <v>20</v>
      </c>
      <c r="L6">
        <v>1.4790000000000001</v>
      </c>
      <c r="M6" t="s">
        <v>21</v>
      </c>
      <c r="N6" t="s">
        <v>20</v>
      </c>
      <c r="O6" s="14">
        <v>1.4154</v>
      </c>
      <c r="P6" t="s">
        <v>21</v>
      </c>
      <c r="Q6" t="s">
        <v>20</v>
      </c>
      <c r="R6">
        <v>8.2000000000000003E-2</v>
      </c>
      <c r="S6" t="s">
        <v>21</v>
      </c>
      <c r="T6" t="s">
        <v>20</v>
      </c>
      <c r="U6">
        <v>2.12</v>
      </c>
      <c r="V6" t="s">
        <v>21</v>
      </c>
      <c r="W6" t="s">
        <v>20</v>
      </c>
      <c r="X6">
        <v>1020.8</v>
      </c>
      <c r="Y6" t="s">
        <v>22</v>
      </c>
      <c r="Z6" t="s">
        <v>23</v>
      </c>
      <c r="AA6">
        <v>53.04</v>
      </c>
      <c r="AB6" t="s">
        <v>24</v>
      </c>
      <c r="AC6" t="s">
        <v>23</v>
      </c>
      <c r="AD6">
        <v>62.05</v>
      </c>
      <c r="AE6" t="s">
        <v>24</v>
      </c>
      <c r="AF6" t="s">
        <v>23</v>
      </c>
      <c r="AG6" t="s">
        <v>25</v>
      </c>
      <c r="AH6" s="5">
        <f t="shared" si="0"/>
        <v>45260</v>
      </c>
    </row>
    <row r="7" spans="1:34" x14ac:dyDescent="0.3">
      <c r="A7">
        <v>0</v>
      </c>
      <c r="B7" s="1">
        <v>45777</v>
      </c>
      <c r="C7" s="2">
        <v>0.52454861111111106</v>
      </c>
      <c r="D7" t="s">
        <v>115</v>
      </c>
      <c r="E7" t="s">
        <v>18</v>
      </c>
      <c r="F7">
        <v>2.0299999999999998</v>
      </c>
      <c r="G7" t="s">
        <v>19</v>
      </c>
      <c r="H7" t="s">
        <v>20</v>
      </c>
      <c r="I7" s="14">
        <v>741.17</v>
      </c>
      <c r="J7" t="s">
        <v>21</v>
      </c>
      <c r="K7" t="s">
        <v>20</v>
      </c>
      <c r="L7">
        <v>1.502</v>
      </c>
      <c r="M7" t="s">
        <v>21</v>
      </c>
      <c r="N7" t="s">
        <v>20</v>
      </c>
      <c r="O7" s="14">
        <v>1.5446</v>
      </c>
      <c r="P7" t="s">
        <v>21</v>
      </c>
      <c r="Q7" t="s">
        <v>20</v>
      </c>
      <c r="R7">
        <v>5.5E-2</v>
      </c>
      <c r="S7" t="s">
        <v>21</v>
      </c>
      <c r="T7" t="s">
        <v>20</v>
      </c>
      <c r="U7">
        <v>2.13</v>
      </c>
      <c r="V7" t="s">
        <v>21</v>
      </c>
      <c r="W7" t="s">
        <v>20</v>
      </c>
      <c r="X7">
        <v>1020.8</v>
      </c>
      <c r="Y7" t="s">
        <v>22</v>
      </c>
      <c r="Z7" t="s">
        <v>23</v>
      </c>
      <c r="AA7">
        <v>53.05</v>
      </c>
      <c r="AB7" t="s">
        <v>24</v>
      </c>
      <c r="AC7" t="s">
        <v>23</v>
      </c>
      <c r="AD7">
        <v>61.98</v>
      </c>
      <c r="AE7" t="s">
        <v>24</v>
      </c>
      <c r="AF7" t="s">
        <v>23</v>
      </c>
      <c r="AG7" t="s">
        <v>25</v>
      </c>
      <c r="AH7" s="5">
        <f t="shared" si="0"/>
        <v>45321</v>
      </c>
    </row>
    <row r="8" spans="1:34" x14ac:dyDescent="0.3">
      <c r="A8">
        <v>0</v>
      </c>
      <c r="B8" s="1">
        <v>45777</v>
      </c>
      <c r="C8" s="2">
        <v>0.52525462962962965</v>
      </c>
      <c r="D8" t="s">
        <v>116</v>
      </c>
      <c r="E8" t="s">
        <v>18</v>
      </c>
      <c r="F8">
        <v>2.09</v>
      </c>
      <c r="G8" t="s">
        <v>19</v>
      </c>
      <c r="H8" t="s">
        <v>20</v>
      </c>
      <c r="I8" s="14">
        <v>781.05</v>
      </c>
      <c r="J8" t="s">
        <v>21</v>
      </c>
      <c r="K8" t="s">
        <v>20</v>
      </c>
      <c r="L8">
        <v>1.5780000000000001</v>
      </c>
      <c r="M8" t="s">
        <v>21</v>
      </c>
      <c r="N8" t="s">
        <v>20</v>
      </c>
      <c r="O8" s="14">
        <v>1.6910000000000001</v>
      </c>
      <c r="P8" t="s">
        <v>21</v>
      </c>
      <c r="Q8" t="s">
        <v>20</v>
      </c>
      <c r="R8">
        <v>0.03</v>
      </c>
      <c r="S8" t="s">
        <v>21</v>
      </c>
      <c r="T8" t="s">
        <v>20</v>
      </c>
      <c r="U8">
        <v>2.129</v>
      </c>
      <c r="V8" t="s">
        <v>21</v>
      </c>
      <c r="W8" t="s">
        <v>20</v>
      </c>
      <c r="X8">
        <v>1020.8</v>
      </c>
      <c r="Y8" t="s">
        <v>22</v>
      </c>
      <c r="Z8" t="s">
        <v>23</v>
      </c>
      <c r="AA8">
        <v>53.02</v>
      </c>
      <c r="AB8" t="s">
        <v>24</v>
      </c>
      <c r="AC8" t="s">
        <v>23</v>
      </c>
      <c r="AD8">
        <v>61.96</v>
      </c>
      <c r="AE8" t="s">
        <v>24</v>
      </c>
      <c r="AF8" t="s">
        <v>23</v>
      </c>
      <c r="AG8" t="s">
        <v>25</v>
      </c>
      <c r="AH8" s="5">
        <f t="shared" si="0"/>
        <v>45382</v>
      </c>
    </row>
    <row r="9" spans="1:34" x14ac:dyDescent="0.3">
      <c r="A9">
        <v>0</v>
      </c>
      <c r="B9" s="1">
        <v>45777</v>
      </c>
      <c r="C9" s="2">
        <v>0.52596064814814814</v>
      </c>
      <c r="D9" t="s">
        <v>117</v>
      </c>
      <c r="E9" t="s">
        <v>18</v>
      </c>
      <c r="F9">
        <v>2.13</v>
      </c>
      <c r="G9" t="s">
        <v>19</v>
      </c>
      <c r="H9" t="s">
        <v>20</v>
      </c>
      <c r="I9" s="14">
        <v>815.03</v>
      </c>
      <c r="J9" t="s">
        <v>21</v>
      </c>
      <c r="K9" t="s">
        <v>20</v>
      </c>
      <c r="L9">
        <v>1.621</v>
      </c>
      <c r="M9" t="s">
        <v>21</v>
      </c>
      <c r="N9" t="s">
        <v>20</v>
      </c>
      <c r="O9" s="14">
        <v>1.802</v>
      </c>
      <c r="P9" t="s">
        <v>21</v>
      </c>
      <c r="Q9" t="s">
        <v>20</v>
      </c>
      <c r="R9">
        <v>5.8999999999999997E-2</v>
      </c>
      <c r="S9" t="s">
        <v>21</v>
      </c>
      <c r="T9" t="s">
        <v>20</v>
      </c>
      <c r="U9">
        <v>2.1349999999999998</v>
      </c>
      <c r="V9" t="s">
        <v>21</v>
      </c>
      <c r="W9" t="s">
        <v>20</v>
      </c>
      <c r="X9">
        <v>1020.8</v>
      </c>
      <c r="Y9" t="s">
        <v>22</v>
      </c>
      <c r="Z9" t="s">
        <v>23</v>
      </c>
      <c r="AA9">
        <v>53.06</v>
      </c>
      <c r="AB9" t="s">
        <v>24</v>
      </c>
      <c r="AC9" t="s">
        <v>23</v>
      </c>
      <c r="AD9">
        <v>61.91</v>
      </c>
      <c r="AE9" t="s">
        <v>24</v>
      </c>
      <c r="AF9" t="s">
        <v>23</v>
      </c>
      <c r="AG9" t="s">
        <v>25</v>
      </c>
      <c r="AH9" s="5">
        <f t="shared" si="0"/>
        <v>45443</v>
      </c>
    </row>
    <row r="12" spans="1:34" ht="23.4" x14ac:dyDescent="0.45">
      <c r="A12" s="3" t="s">
        <v>231</v>
      </c>
      <c r="O12" s="4" t="s">
        <v>232</v>
      </c>
    </row>
    <row r="13" spans="1:34" x14ac:dyDescent="0.3">
      <c r="B13" t="s">
        <v>233</v>
      </c>
      <c r="C13">
        <f>L20</f>
        <v>260.77</v>
      </c>
      <c r="F13" t="s">
        <v>234</v>
      </c>
      <c r="G13" s="5">
        <f>C15</f>
        <v>0.71443835616438356</v>
      </c>
      <c r="M13" s="5"/>
      <c r="P13" t="s">
        <v>233</v>
      </c>
      <c r="Q13">
        <f>Z20</f>
        <v>0.9255000000000001</v>
      </c>
      <c r="T13" t="s">
        <v>234</v>
      </c>
      <c r="U13" s="5">
        <f>Q15</f>
        <v>2.5356164383561648E-3</v>
      </c>
      <c r="AA13" s="7"/>
    </row>
    <row r="14" spans="1:34" x14ac:dyDescent="0.3">
      <c r="B14" t="s">
        <v>2</v>
      </c>
      <c r="C14" s="5">
        <f>M20</f>
        <v>365</v>
      </c>
      <c r="F14" t="s">
        <v>235</v>
      </c>
      <c r="G14" s="8">
        <v>9.6699999999999998E-3</v>
      </c>
      <c r="M14" s="5"/>
      <c r="P14" t="s">
        <v>2</v>
      </c>
      <c r="Q14" s="5">
        <f>AA20</f>
        <v>365</v>
      </c>
      <c r="T14" t="s">
        <v>235</v>
      </c>
      <c r="U14" s="8">
        <v>9.6699999999999998E-3</v>
      </c>
      <c r="AA14" s="7"/>
    </row>
    <row r="15" spans="1:34" x14ac:dyDescent="0.3">
      <c r="B15" t="s">
        <v>236</v>
      </c>
      <c r="C15" s="5">
        <f>C13/C14</f>
        <v>0.71443835616438356</v>
      </c>
      <c r="F15" t="s">
        <v>237</v>
      </c>
      <c r="G15">
        <f>22.4*10^-3</f>
        <v>2.24E-2</v>
      </c>
      <c r="M15" s="5"/>
      <c r="P15" t="s">
        <v>236</v>
      </c>
      <c r="Q15" s="9">
        <f>Q13/Q14</f>
        <v>2.5356164383561648E-3</v>
      </c>
      <c r="T15" t="s">
        <v>237</v>
      </c>
      <c r="U15">
        <f>22.4*10^-3</f>
        <v>2.24E-2</v>
      </c>
      <c r="AA15" s="7"/>
    </row>
    <row r="16" spans="1:34" x14ac:dyDescent="0.3">
      <c r="F16" s="10" t="s">
        <v>238</v>
      </c>
      <c r="G16" s="10">
        <v>12.8</v>
      </c>
      <c r="H16" t="s">
        <v>239</v>
      </c>
      <c r="I16">
        <f>G16+273</f>
        <v>285.8</v>
      </c>
      <c r="M16" s="5"/>
      <c r="T16" s="10" t="s">
        <v>238</v>
      </c>
      <c r="U16" s="10">
        <v>12.8</v>
      </c>
      <c r="V16" t="s">
        <v>239</v>
      </c>
      <c r="W16">
        <f>U16+273</f>
        <v>285.8</v>
      </c>
      <c r="AA16" s="7"/>
    </row>
    <row r="17" spans="6:27" x14ac:dyDescent="0.3">
      <c r="F17" t="s">
        <v>240</v>
      </c>
      <c r="G17">
        <v>273</v>
      </c>
      <c r="M17" s="5"/>
      <c r="T17" t="s">
        <v>240</v>
      </c>
      <c r="U17">
        <v>273</v>
      </c>
      <c r="AA17" s="7"/>
    </row>
    <row r="18" spans="6:27" x14ac:dyDescent="0.3">
      <c r="F18" t="s">
        <v>241</v>
      </c>
      <c r="G18">
        <v>3.1399999999999997E-2</v>
      </c>
      <c r="M18" s="5"/>
      <c r="T18" t="s">
        <v>241</v>
      </c>
      <c r="U18">
        <v>3.1399999999999997E-2</v>
      </c>
      <c r="AA18" s="7"/>
    </row>
    <row r="19" spans="6:27" x14ac:dyDescent="0.3">
      <c r="L19" s="14" t="s">
        <v>247</v>
      </c>
      <c r="M19" s="15" t="s">
        <v>248</v>
      </c>
      <c r="Z19" s="14" t="s">
        <v>249</v>
      </c>
      <c r="AA19" s="16" t="s">
        <v>248</v>
      </c>
    </row>
    <row r="20" spans="6:27" x14ac:dyDescent="0.3">
      <c r="F20" t="s">
        <v>242</v>
      </c>
      <c r="G20">
        <f>G17/I16</f>
        <v>0.95521343596920916</v>
      </c>
      <c r="L20">
        <f>I9-I3</f>
        <v>260.77</v>
      </c>
      <c r="M20" s="7">
        <f>AH9-AH3</f>
        <v>365</v>
      </c>
      <c r="T20" t="s">
        <v>242</v>
      </c>
      <c r="U20">
        <f>U17/W16</f>
        <v>0.95521343596920916</v>
      </c>
      <c r="Z20">
        <f>O9-O3</f>
        <v>0.9255000000000001</v>
      </c>
      <c r="AA20" s="7">
        <f>AH9-AH3</f>
        <v>365</v>
      </c>
    </row>
    <row r="21" spans="6:27" x14ac:dyDescent="0.3">
      <c r="F21" t="s">
        <v>243</v>
      </c>
      <c r="G21">
        <f>1/G18</f>
        <v>31.847133757961785</v>
      </c>
      <c r="M21" s="11">
        <f>M20/60</f>
        <v>6.083333333333333</v>
      </c>
      <c r="T21" t="s">
        <v>243</v>
      </c>
      <c r="U21">
        <f>1/U18</f>
        <v>31.847133757961785</v>
      </c>
      <c r="AA21" s="11"/>
    </row>
    <row r="22" spans="6:27" x14ac:dyDescent="0.3">
      <c r="F22" t="s">
        <v>244</v>
      </c>
      <c r="G22">
        <f>G15/G20</f>
        <v>2.3450256410256411E-2</v>
      </c>
      <c r="T22" t="s">
        <v>244</v>
      </c>
      <c r="U22">
        <f>U15/U20</f>
        <v>2.3450256410256411E-2</v>
      </c>
      <c r="AA22" s="7"/>
    </row>
    <row r="23" spans="6:27" x14ac:dyDescent="0.3">
      <c r="L23" s="6">
        <f>(L20/M20)*(G14/G15)/G18</f>
        <v>9.822308496516138</v>
      </c>
      <c r="Z23" s="6">
        <f>(Z20/AA20)*(U14/U15)/U18</f>
        <v>3.4860400021189883E-2</v>
      </c>
      <c r="AA23" s="7"/>
    </row>
    <row r="24" spans="6:27" x14ac:dyDescent="0.3">
      <c r="F24" s="10">
        <f>(G13)*(G14/G22)*(G21)</f>
        <v>9.3824010481067344</v>
      </c>
      <c r="T24" s="10">
        <f>(U13)*(U14/U22)*(U21)</f>
        <v>3.3299122483501878E-2</v>
      </c>
      <c r="AA24" s="7"/>
    </row>
    <row r="26" spans="6:27" x14ac:dyDescent="0.3">
      <c r="Y26" s="12" t="s">
        <v>245</v>
      </c>
      <c r="Z26" s="12">
        <f>Z23*298</f>
        <v>10.388399206314585</v>
      </c>
      <c r="AA26" s="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DD204-5453-4B66-A7E8-D484A2BAEA09}">
  <dimension ref="A1:AH26"/>
  <sheetViews>
    <sheetView topLeftCell="N15" workbookViewId="0">
      <selection activeCell="Z26" sqref="Z26"/>
    </sheetView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</v>
      </c>
      <c r="K1" t="s">
        <v>7</v>
      </c>
      <c r="L1" t="s">
        <v>9</v>
      </c>
      <c r="M1" t="s">
        <v>6</v>
      </c>
      <c r="N1" t="s">
        <v>7</v>
      </c>
      <c r="O1" t="s">
        <v>10</v>
      </c>
      <c r="P1" t="s">
        <v>6</v>
      </c>
      <c r="Q1" t="s">
        <v>7</v>
      </c>
      <c r="R1" t="s">
        <v>11</v>
      </c>
      <c r="S1" t="s">
        <v>6</v>
      </c>
      <c r="T1" t="s">
        <v>7</v>
      </c>
      <c r="U1" t="s">
        <v>12</v>
      </c>
      <c r="V1" t="s">
        <v>6</v>
      </c>
      <c r="W1" t="s">
        <v>7</v>
      </c>
      <c r="X1" t="s">
        <v>13</v>
      </c>
      <c r="Y1" t="s">
        <v>6</v>
      </c>
      <c r="Z1" t="s">
        <v>7</v>
      </c>
      <c r="AA1" t="s">
        <v>14</v>
      </c>
      <c r="AB1" t="s">
        <v>6</v>
      </c>
      <c r="AC1" t="s">
        <v>7</v>
      </c>
      <c r="AD1" t="s">
        <v>15</v>
      </c>
      <c r="AE1" t="s">
        <v>6</v>
      </c>
      <c r="AF1" t="s">
        <v>7</v>
      </c>
      <c r="AG1" t="s">
        <v>16</v>
      </c>
      <c r="AH1" t="s">
        <v>246</v>
      </c>
    </row>
    <row r="2" spans="1:34" x14ac:dyDescent="0.3">
      <c r="A2">
        <v>0</v>
      </c>
      <c r="B2" s="1">
        <v>45777</v>
      </c>
      <c r="C2" s="2">
        <v>0.52819444444444441</v>
      </c>
      <c r="D2" t="s">
        <v>118</v>
      </c>
      <c r="E2" t="s">
        <v>18</v>
      </c>
      <c r="F2">
        <v>1.8</v>
      </c>
      <c r="G2" t="s">
        <v>19</v>
      </c>
      <c r="H2" t="s">
        <v>20</v>
      </c>
      <c r="I2">
        <v>560.86</v>
      </c>
      <c r="J2" t="s">
        <v>21</v>
      </c>
      <c r="K2" t="s">
        <v>20</v>
      </c>
      <c r="L2">
        <v>1.7310000000000001</v>
      </c>
      <c r="M2" t="s">
        <v>21</v>
      </c>
      <c r="N2" t="s">
        <v>20</v>
      </c>
      <c r="O2">
        <v>0.81869999999999998</v>
      </c>
      <c r="P2" t="s">
        <v>21</v>
      </c>
      <c r="Q2" t="s">
        <v>20</v>
      </c>
      <c r="R2">
        <v>7.0000000000000001E-3</v>
      </c>
      <c r="S2" t="s">
        <v>21</v>
      </c>
      <c r="T2" t="s">
        <v>20</v>
      </c>
      <c r="U2">
        <v>2.1480000000000001</v>
      </c>
      <c r="V2" t="s">
        <v>21</v>
      </c>
      <c r="W2" t="s">
        <v>20</v>
      </c>
      <c r="X2">
        <v>1020.8</v>
      </c>
      <c r="Y2" t="s">
        <v>22</v>
      </c>
      <c r="Z2" t="s">
        <v>23</v>
      </c>
      <c r="AA2">
        <v>53.42</v>
      </c>
      <c r="AB2" t="s">
        <v>24</v>
      </c>
      <c r="AC2" t="s">
        <v>23</v>
      </c>
      <c r="AD2">
        <v>62.15</v>
      </c>
      <c r="AE2" t="s">
        <v>24</v>
      </c>
      <c r="AF2" t="s">
        <v>23</v>
      </c>
      <c r="AG2" t="s">
        <v>25</v>
      </c>
      <c r="AH2" s="5">
        <f>HOUR(C2)*3600 + MINUTE(C2)*60 + SECOND(C2)</f>
        <v>45636</v>
      </c>
    </row>
    <row r="3" spans="1:34" x14ac:dyDescent="0.3">
      <c r="A3">
        <v>0</v>
      </c>
      <c r="B3" s="1">
        <v>45777</v>
      </c>
      <c r="C3" s="2">
        <v>0.528900462962963</v>
      </c>
      <c r="D3" t="s">
        <v>119</v>
      </c>
      <c r="E3" t="s">
        <v>18</v>
      </c>
      <c r="F3">
        <v>1.78</v>
      </c>
      <c r="G3" t="s">
        <v>19</v>
      </c>
      <c r="H3" t="s">
        <v>20</v>
      </c>
      <c r="I3" s="14">
        <v>502.21</v>
      </c>
      <c r="J3" t="s">
        <v>21</v>
      </c>
      <c r="K3" t="s">
        <v>20</v>
      </c>
      <c r="L3">
        <v>1.6839999999999999</v>
      </c>
      <c r="M3" t="s">
        <v>21</v>
      </c>
      <c r="N3" t="s">
        <v>20</v>
      </c>
      <c r="O3" s="14">
        <v>0.52459999999999996</v>
      </c>
      <c r="P3" t="s">
        <v>21</v>
      </c>
      <c r="Q3" t="s">
        <v>20</v>
      </c>
      <c r="R3">
        <v>3.5999999999999997E-2</v>
      </c>
      <c r="S3" t="s">
        <v>21</v>
      </c>
      <c r="T3" t="s">
        <v>20</v>
      </c>
      <c r="U3">
        <v>2.15</v>
      </c>
      <c r="V3" t="s">
        <v>21</v>
      </c>
      <c r="W3" t="s">
        <v>20</v>
      </c>
      <c r="X3">
        <v>1020.8</v>
      </c>
      <c r="Y3" t="s">
        <v>22</v>
      </c>
      <c r="Z3" t="s">
        <v>23</v>
      </c>
      <c r="AA3">
        <v>53.5</v>
      </c>
      <c r="AB3" t="s">
        <v>24</v>
      </c>
      <c r="AC3" t="s">
        <v>23</v>
      </c>
      <c r="AD3">
        <v>62.35</v>
      </c>
      <c r="AE3" t="s">
        <v>24</v>
      </c>
      <c r="AF3" t="s">
        <v>23</v>
      </c>
      <c r="AG3" t="s">
        <v>25</v>
      </c>
      <c r="AH3" s="5">
        <f t="shared" ref="AH3:AH9" si="0">HOUR(C3)*3600 + MINUTE(C3)*60 + SECOND(C3)</f>
        <v>45697</v>
      </c>
    </row>
    <row r="4" spans="1:34" x14ac:dyDescent="0.3">
      <c r="A4">
        <v>0</v>
      </c>
      <c r="B4" s="1">
        <v>45777</v>
      </c>
      <c r="C4" s="2">
        <v>0.52960648148148148</v>
      </c>
      <c r="D4" t="s">
        <v>120</v>
      </c>
      <c r="E4" t="s">
        <v>18</v>
      </c>
      <c r="F4">
        <v>1.85</v>
      </c>
      <c r="G4" t="s">
        <v>19</v>
      </c>
      <c r="H4" t="s">
        <v>20</v>
      </c>
      <c r="I4" s="14">
        <v>520.03</v>
      </c>
      <c r="J4" t="s">
        <v>21</v>
      </c>
      <c r="K4" t="s">
        <v>20</v>
      </c>
      <c r="L4">
        <v>1.6910000000000001</v>
      </c>
      <c r="M4" t="s">
        <v>21</v>
      </c>
      <c r="N4" t="s">
        <v>20</v>
      </c>
      <c r="O4" s="14">
        <v>0.53059999999999996</v>
      </c>
      <c r="P4" t="s">
        <v>21</v>
      </c>
      <c r="Q4" t="s">
        <v>20</v>
      </c>
      <c r="R4">
        <v>2.7E-2</v>
      </c>
      <c r="S4" t="s">
        <v>21</v>
      </c>
      <c r="T4" t="s">
        <v>20</v>
      </c>
      <c r="U4">
        <v>2.153</v>
      </c>
      <c r="V4" t="s">
        <v>21</v>
      </c>
      <c r="W4" t="s">
        <v>20</v>
      </c>
      <c r="X4">
        <v>1020.8</v>
      </c>
      <c r="Y4" t="s">
        <v>22</v>
      </c>
      <c r="Z4" t="s">
        <v>23</v>
      </c>
      <c r="AA4">
        <v>53.55</v>
      </c>
      <c r="AB4" t="s">
        <v>24</v>
      </c>
      <c r="AC4" t="s">
        <v>23</v>
      </c>
      <c r="AD4">
        <v>62.42</v>
      </c>
      <c r="AE4" t="s">
        <v>24</v>
      </c>
      <c r="AF4" t="s">
        <v>23</v>
      </c>
      <c r="AG4" t="s">
        <v>25</v>
      </c>
      <c r="AH4" s="5">
        <f t="shared" si="0"/>
        <v>45758</v>
      </c>
    </row>
    <row r="5" spans="1:34" x14ac:dyDescent="0.3">
      <c r="A5">
        <v>0</v>
      </c>
      <c r="B5" s="1">
        <v>45777</v>
      </c>
      <c r="C5" s="2">
        <v>0.53031249999999996</v>
      </c>
      <c r="D5" t="s">
        <v>121</v>
      </c>
      <c r="E5" t="s">
        <v>18</v>
      </c>
      <c r="F5">
        <v>1.91</v>
      </c>
      <c r="G5" t="s">
        <v>19</v>
      </c>
      <c r="H5" t="s">
        <v>20</v>
      </c>
      <c r="I5" s="14">
        <v>534.78</v>
      </c>
      <c r="J5" t="s">
        <v>21</v>
      </c>
      <c r="K5" t="s">
        <v>20</v>
      </c>
      <c r="L5">
        <v>1.6839999999999999</v>
      </c>
      <c r="M5" t="s">
        <v>21</v>
      </c>
      <c r="N5" t="s">
        <v>20</v>
      </c>
      <c r="O5" s="14">
        <v>0.53549999999999998</v>
      </c>
      <c r="P5" t="s">
        <v>21</v>
      </c>
      <c r="Q5" t="s">
        <v>20</v>
      </c>
      <c r="R5">
        <v>8.0000000000000002E-3</v>
      </c>
      <c r="S5" t="s">
        <v>21</v>
      </c>
      <c r="T5" t="s">
        <v>20</v>
      </c>
      <c r="U5">
        <v>2.1339999999999999</v>
      </c>
      <c r="V5" t="s">
        <v>21</v>
      </c>
      <c r="W5" t="s">
        <v>20</v>
      </c>
      <c r="X5">
        <v>1020.9</v>
      </c>
      <c r="Y5" t="s">
        <v>22</v>
      </c>
      <c r="Z5" t="s">
        <v>23</v>
      </c>
      <c r="AA5">
        <v>53.63</v>
      </c>
      <c r="AB5" t="s">
        <v>24</v>
      </c>
      <c r="AC5" t="s">
        <v>23</v>
      </c>
      <c r="AD5">
        <v>62.49</v>
      </c>
      <c r="AE5" t="s">
        <v>24</v>
      </c>
      <c r="AF5" t="s">
        <v>23</v>
      </c>
      <c r="AG5" t="s">
        <v>25</v>
      </c>
      <c r="AH5" s="5">
        <f t="shared" si="0"/>
        <v>45819</v>
      </c>
    </row>
    <row r="6" spans="1:34" x14ac:dyDescent="0.3">
      <c r="A6">
        <v>0</v>
      </c>
      <c r="B6" s="1">
        <v>45777</v>
      </c>
      <c r="C6" s="2">
        <v>0.53101851851851856</v>
      </c>
      <c r="D6" t="s">
        <v>122</v>
      </c>
      <c r="E6" t="s">
        <v>18</v>
      </c>
      <c r="F6">
        <v>1.96</v>
      </c>
      <c r="G6" t="s">
        <v>19</v>
      </c>
      <c r="H6" t="s">
        <v>20</v>
      </c>
      <c r="I6" s="14">
        <v>556.63</v>
      </c>
      <c r="J6" t="s">
        <v>21</v>
      </c>
      <c r="K6" t="s">
        <v>20</v>
      </c>
      <c r="L6">
        <v>1.762</v>
      </c>
      <c r="M6" t="s">
        <v>21</v>
      </c>
      <c r="N6" t="s">
        <v>20</v>
      </c>
      <c r="O6" s="14">
        <v>0.53580000000000005</v>
      </c>
      <c r="P6" t="s">
        <v>21</v>
      </c>
      <c r="Q6" t="s">
        <v>20</v>
      </c>
      <c r="R6">
        <v>4.2000000000000003E-2</v>
      </c>
      <c r="S6" t="s">
        <v>21</v>
      </c>
      <c r="T6" t="s">
        <v>20</v>
      </c>
      <c r="U6">
        <v>2.141</v>
      </c>
      <c r="V6" t="s">
        <v>21</v>
      </c>
      <c r="W6" t="s">
        <v>20</v>
      </c>
      <c r="X6">
        <v>1020.8</v>
      </c>
      <c r="Y6" t="s">
        <v>22</v>
      </c>
      <c r="Z6" t="s">
        <v>23</v>
      </c>
      <c r="AA6">
        <v>53.68</v>
      </c>
      <c r="AB6" t="s">
        <v>24</v>
      </c>
      <c r="AC6" t="s">
        <v>23</v>
      </c>
      <c r="AD6">
        <v>62.61</v>
      </c>
      <c r="AE6" t="s">
        <v>24</v>
      </c>
      <c r="AF6" t="s">
        <v>23</v>
      </c>
      <c r="AG6" t="s">
        <v>25</v>
      </c>
      <c r="AH6" s="5">
        <f t="shared" si="0"/>
        <v>45880</v>
      </c>
    </row>
    <row r="7" spans="1:34" x14ac:dyDescent="0.3">
      <c r="A7">
        <v>0</v>
      </c>
      <c r="B7" s="1">
        <v>45777</v>
      </c>
      <c r="C7" s="2">
        <v>0.53172453703703704</v>
      </c>
      <c r="D7" t="s">
        <v>123</v>
      </c>
      <c r="E7" t="s">
        <v>18</v>
      </c>
      <c r="F7">
        <v>2.02</v>
      </c>
      <c r="G7" t="s">
        <v>19</v>
      </c>
      <c r="H7" t="s">
        <v>20</v>
      </c>
      <c r="I7" s="14">
        <v>574.73</v>
      </c>
      <c r="J7" t="s">
        <v>21</v>
      </c>
      <c r="K7" t="s">
        <v>20</v>
      </c>
      <c r="L7">
        <v>1.7729999999999999</v>
      </c>
      <c r="M7" t="s">
        <v>21</v>
      </c>
      <c r="N7" t="s">
        <v>20</v>
      </c>
      <c r="O7" s="14">
        <v>0.54410000000000003</v>
      </c>
      <c r="P7" t="s">
        <v>21</v>
      </c>
      <c r="Q7" t="s">
        <v>20</v>
      </c>
      <c r="R7">
        <v>0</v>
      </c>
      <c r="S7" t="s">
        <v>21</v>
      </c>
      <c r="T7" t="s">
        <v>20</v>
      </c>
      <c r="U7">
        <v>2.141</v>
      </c>
      <c r="V7" t="s">
        <v>21</v>
      </c>
      <c r="W7" t="s">
        <v>20</v>
      </c>
      <c r="X7">
        <v>1020.8</v>
      </c>
      <c r="Y7" t="s">
        <v>22</v>
      </c>
      <c r="Z7" t="s">
        <v>23</v>
      </c>
      <c r="AA7">
        <v>53.74</v>
      </c>
      <c r="AB7" t="s">
        <v>24</v>
      </c>
      <c r="AC7" t="s">
        <v>23</v>
      </c>
      <c r="AD7">
        <v>62.71</v>
      </c>
      <c r="AE7" t="s">
        <v>24</v>
      </c>
      <c r="AF7" t="s">
        <v>23</v>
      </c>
      <c r="AG7" t="s">
        <v>25</v>
      </c>
      <c r="AH7" s="5">
        <f t="shared" si="0"/>
        <v>45941</v>
      </c>
    </row>
    <row r="8" spans="1:34" x14ac:dyDescent="0.3">
      <c r="A8">
        <v>0</v>
      </c>
      <c r="B8" s="1">
        <v>45777</v>
      </c>
      <c r="C8" s="2">
        <v>0.53243055555555552</v>
      </c>
      <c r="D8" t="s">
        <v>124</v>
      </c>
      <c r="E8" t="s">
        <v>18</v>
      </c>
      <c r="F8">
        <v>2.0699999999999998</v>
      </c>
      <c r="G8" t="s">
        <v>19</v>
      </c>
      <c r="H8" t="s">
        <v>20</v>
      </c>
      <c r="I8" s="14">
        <v>588.82000000000005</v>
      </c>
      <c r="J8" t="s">
        <v>21</v>
      </c>
      <c r="K8" t="s">
        <v>20</v>
      </c>
      <c r="L8">
        <v>1.8029999999999999</v>
      </c>
      <c r="M8" t="s">
        <v>21</v>
      </c>
      <c r="N8" t="s">
        <v>20</v>
      </c>
      <c r="O8" s="14">
        <v>0.5474</v>
      </c>
      <c r="P8" t="s">
        <v>21</v>
      </c>
      <c r="Q8" t="s">
        <v>20</v>
      </c>
      <c r="R8">
        <v>3.4000000000000002E-2</v>
      </c>
      <c r="S8" t="s">
        <v>21</v>
      </c>
      <c r="T8" t="s">
        <v>20</v>
      </c>
      <c r="U8">
        <v>2.1349999999999998</v>
      </c>
      <c r="V8" t="s">
        <v>21</v>
      </c>
      <c r="W8" t="s">
        <v>20</v>
      </c>
      <c r="X8">
        <v>1020.7</v>
      </c>
      <c r="Y8" t="s">
        <v>22</v>
      </c>
      <c r="Z8" t="s">
        <v>23</v>
      </c>
      <c r="AA8">
        <v>53.78</v>
      </c>
      <c r="AB8" t="s">
        <v>24</v>
      </c>
      <c r="AC8" t="s">
        <v>23</v>
      </c>
      <c r="AD8">
        <v>62.7</v>
      </c>
      <c r="AE8" t="s">
        <v>24</v>
      </c>
      <c r="AF8" t="s">
        <v>23</v>
      </c>
      <c r="AG8" t="s">
        <v>25</v>
      </c>
      <c r="AH8" s="5">
        <f t="shared" si="0"/>
        <v>46002</v>
      </c>
    </row>
    <row r="9" spans="1:34" x14ac:dyDescent="0.3">
      <c r="A9">
        <v>0</v>
      </c>
      <c r="B9" s="1">
        <v>45777</v>
      </c>
      <c r="C9" s="2">
        <v>0.53313657407407411</v>
      </c>
      <c r="D9" t="s">
        <v>125</v>
      </c>
      <c r="E9" t="s">
        <v>18</v>
      </c>
      <c r="F9">
        <v>2.1</v>
      </c>
      <c r="G9" t="s">
        <v>19</v>
      </c>
      <c r="H9" t="s">
        <v>20</v>
      </c>
      <c r="I9" s="14">
        <v>596.80999999999995</v>
      </c>
      <c r="J9" t="s">
        <v>21</v>
      </c>
      <c r="K9" t="s">
        <v>20</v>
      </c>
      <c r="L9">
        <v>1.7829999999999999</v>
      </c>
      <c r="M9" t="s">
        <v>21</v>
      </c>
      <c r="N9" t="s">
        <v>20</v>
      </c>
      <c r="O9" s="14">
        <v>0.54190000000000005</v>
      </c>
      <c r="P9" t="s">
        <v>21</v>
      </c>
      <c r="Q9" t="s">
        <v>20</v>
      </c>
      <c r="R9">
        <v>1E-3</v>
      </c>
      <c r="S9" t="s">
        <v>21</v>
      </c>
      <c r="T9" t="s">
        <v>20</v>
      </c>
      <c r="U9">
        <v>2.1480000000000001</v>
      </c>
      <c r="V9" t="s">
        <v>21</v>
      </c>
      <c r="W9" t="s">
        <v>20</v>
      </c>
      <c r="X9">
        <v>1020.8</v>
      </c>
      <c r="Y9" t="s">
        <v>22</v>
      </c>
      <c r="Z9" t="s">
        <v>23</v>
      </c>
      <c r="AA9">
        <v>53.77</v>
      </c>
      <c r="AB9" t="s">
        <v>24</v>
      </c>
      <c r="AC9" t="s">
        <v>23</v>
      </c>
      <c r="AD9">
        <v>62.66</v>
      </c>
      <c r="AE9" t="s">
        <v>24</v>
      </c>
      <c r="AF9" t="s">
        <v>23</v>
      </c>
      <c r="AG9" t="s">
        <v>25</v>
      </c>
      <c r="AH9" s="5">
        <f t="shared" si="0"/>
        <v>46063</v>
      </c>
    </row>
    <row r="12" spans="1:34" ht="23.4" x14ac:dyDescent="0.45">
      <c r="A12" s="3" t="s">
        <v>231</v>
      </c>
      <c r="O12" s="4" t="s">
        <v>232</v>
      </c>
    </row>
    <row r="13" spans="1:34" x14ac:dyDescent="0.3">
      <c r="B13" t="s">
        <v>233</v>
      </c>
      <c r="C13">
        <f>L20</f>
        <v>94.599999999999966</v>
      </c>
      <c r="F13" t="s">
        <v>234</v>
      </c>
      <c r="G13" s="5">
        <f>C15</f>
        <v>0.25846994535519119</v>
      </c>
      <c r="M13" s="5"/>
      <c r="P13" t="s">
        <v>233</v>
      </c>
      <c r="Q13">
        <f>Z20</f>
        <v>1.7300000000000093E-2</v>
      </c>
      <c r="T13" t="s">
        <v>234</v>
      </c>
      <c r="U13" s="5">
        <f>Q15</f>
        <v>4.7267759562841782E-5</v>
      </c>
      <c r="AA13" s="7"/>
    </row>
    <row r="14" spans="1:34" x14ac:dyDescent="0.3">
      <c r="B14" t="s">
        <v>2</v>
      </c>
      <c r="C14" s="5">
        <f>M20</f>
        <v>366</v>
      </c>
      <c r="F14" t="s">
        <v>235</v>
      </c>
      <c r="G14" s="8">
        <v>9.6699999999999998E-3</v>
      </c>
      <c r="M14" s="5"/>
      <c r="P14" t="s">
        <v>2</v>
      </c>
      <c r="Q14" s="5">
        <f>AA20</f>
        <v>366</v>
      </c>
      <c r="T14" t="s">
        <v>235</v>
      </c>
      <c r="U14" s="8">
        <v>9.6699999999999998E-3</v>
      </c>
      <c r="AA14" s="7"/>
    </row>
    <row r="15" spans="1:34" x14ac:dyDescent="0.3">
      <c r="B15" t="s">
        <v>236</v>
      </c>
      <c r="C15" s="5">
        <f>C13/C14</f>
        <v>0.25846994535519119</v>
      </c>
      <c r="F15" t="s">
        <v>237</v>
      </c>
      <c r="G15">
        <f>22.4*10^-3</f>
        <v>2.24E-2</v>
      </c>
      <c r="M15" s="5"/>
      <c r="P15" t="s">
        <v>236</v>
      </c>
      <c r="Q15" s="9">
        <f>Q13/Q14</f>
        <v>4.7267759562841782E-5</v>
      </c>
      <c r="T15" t="s">
        <v>237</v>
      </c>
      <c r="U15">
        <f>22.4*10^-3</f>
        <v>2.24E-2</v>
      </c>
      <c r="AA15" s="7"/>
    </row>
    <row r="16" spans="1:34" x14ac:dyDescent="0.3">
      <c r="F16" s="10" t="s">
        <v>238</v>
      </c>
      <c r="G16" s="10">
        <v>12.8</v>
      </c>
      <c r="H16" t="s">
        <v>239</v>
      </c>
      <c r="I16">
        <f>G16+273</f>
        <v>285.8</v>
      </c>
      <c r="M16" s="5"/>
      <c r="T16" s="10" t="s">
        <v>238</v>
      </c>
      <c r="U16" s="10">
        <v>12.8</v>
      </c>
      <c r="V16" t="s">
        <v>239</v>
      </c>
      <c r="W16">
        <f>U16+273</f>
        <v>285.8</v>
      </c>
      <c r="AA16" s="7"/>
    </row>
    <row r="17" spans="6:27" x14ac:dyDescent="0.3">
      <c r="F17" t="s">
        <v>240</v>
      </c>
      <c r="G17">
        <v>273</v>
      </c>
      <c r="M17" s="5"/>
      <c r="T17" t="s">
        <v>240</v>
      </c>
      <c r="U17">
        <v>273</v>
      </c>
      <c r="AA17" s="7"/>
    </row>
    <row r="18" spans="6:27" x14ac:dyDescent="0.3">
      <c r="F18" t="s">
        <v>241</v>
      </c>
      <c r="G18">
        <v>3.1399999999999997E-2</v>
      </c>
      <c r="M18" s="5"/>
      <c r="T18" t="s">
        <v>241</v>
      </c>
      <c r="U18">
        <v>3.1399999999999997E-2</v>
      </c>
      <c r="AA18" s="7"/>
    </row>
    <row r="19" spans="6:27" x14ac:dyDescent="0.3">
      <c r="L19" s="14" t="s">
        <v>247</v>
      </c>
      <c r="M19" s="15" t="s">
        <v>248</v>
      </c>
      <c r="Z19" s="14" t="s">
        <v>249</v>
      </c>
      <c r="AA19" s="16" t="s">
        <v>248</v>
      </c>
    </row>
    <row r="20" spans="6:27" x14ac:dyDescent="0.3">
      <c r="F20" t="s">
        <v>242</v>
      </c>
      <c r="G20">
        <f>G17/I16</f>
        <v>0.95521343596920916</v>
      </c>
      <c r="L20">
        <f>I9-I3</f>
        <v>94.599999999999966</v>
      </c>
      <c r="M20" s="7">
        <f>AH9-AH3</f>
        <v>366</v>
      </c>
      <c r="T20" t="s">
        <v>242</v>
      </c>
      <c r="U20">
        <f>U17/W16</f>
        <v>0.95521343596920916</v>
      </c>
      <c r="Z20">
        <f>O9-O3</f>
        <v>1.7300000000000093E-2</v>
      </c>
      <c r="AA20" s="7">
        <f>AH9-AH3</f>
        <v>366</v>
      </c>
    </row>
    <row r="21" spans="6:27" x14ac:dyDescent="0.3">
      <c r="F21" t="s">
        <v>243</v>
      </c>
      <c r="G21">
        <f>1/G18</f>
        <v>31.847133757961785</v>
      </c>
      <c r="M21" s="11">
        <f>M20/60</f>
        <v>6.1</v>
      </c>
      <c r="T21" t="s">
        <v>243</v>
      </c>
      <c r="U21">
        <f>1/U18</f>
        <v>31.847133757961785</v>
      </c>
      <c r="AA21" s="11"/>
    </row>
    <row r="22" spans="6:27" x14ac:dyDescent="0.3">
      <c r="F22" t="s">
        <v>244</v>
      </c>
      <c r="G22">
        <f>G15/G20</f>
        <v>2.3450256410256411E-2</v>
      </c>
      <c r="T22" t="s">
        <v>244</v>
      </c>
      <c r="U22">
        <f>U15/U20</f>
        <v>2.3450256410256411E-2</v>
      </c>
      <c r="AA22" s="7"/>
    </row>
    <row r="23" spans="6:27" x14ac:dyDescent="0.3">
      <c r="L23" s="6">
        <f>(L20/M20)*(G14/G15)/G18</f>
        <v>3.5535207739773358</v>
      </c>
      <c r="Z23" s="6">
        <f>(Z20/AA20)*(U14/U15)/U18</f>
        <v>6.498510506322226E-4</v>
      </c>
      <c r="AA23" s="7"/>
    </row>
    <row r="24" spans="6:27" x14ac:dyDescent="0.3">
      <c r="F24" s="10">
        <f>(G13)*(G14/G22)*(G21)</f>
        <v>3.3943707882988541</v>
      </c>
      <c r="T24" s="10">
        <f>(U13)*(U14/U22)*(U21)</f>
        <v>6.2074645494260576E-4</v>
      </c>
      <c r="AA24" s="7"/>
    </row>
    <row r="26" spans="6:27" x14ac:dyDescent="0.3">
      <c r="Y26" s="12" t="s">
        <v>245</v>
      </c>
      <c r="Z26" s="12">
        <f>Z23*298</f>
        <v>0.19365561308840235</v>
      </c>
      <c r="AA26" s="7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B28B2-5743-4427-BCEB-00F3C003EF05}">
  <dimension ref="A1:AH27"/>
  <sheetViews>
    <sheetView topLeftCell="J18" workbookViewId="0">
      <selection activeCell="Z27" sqref="Z27"/>
    </sheetView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</v>
      </c>
      <c r="K1" t="s">
        <v>7</v>
      </c>
      <c r="L1" t="s">
        <v>9</v>
      </c>
      <c r="M1" t="s">
        <v>6</v>
      </c>
      <c r="N1" t="s">
        <v>7</v>
      </c>
      <c r="O1" t="s">
        <v>10</v>
      </c>
      <c r="P1" t="s">
        <v>6</v>
      </c>
      <c r="Q1" t="s">
        <v>7</v>
      </c>
      <c r="R1" t="s">
        <v>11</v>
      </c>
      <c r="S1" t="s">
        <v>6</v>
      </c>
      <c r="T1" t="s">
        <v>7</v>
      </c>
      <c r="U1" t="s">
        <v>12</v>
      </c>
      <c r="V1" t="s">
        <v>6</v>
      </c>
      <c r="W1" t="s">
        <v>7</v>
      </c>
      <c r="X1" t="s">
        <v>13</v>
      </c>
      <c r="Y1" t="s">
        <v>6</v>
      </c>
      <c r="Z1" t="s">
        <v>7</v>
      </c>
      <c r="AA1" t="s">
        <v>14</v>
      </c>
      <c r="AB1" t="s">
        <v>6</v>
      </c>
      <c r="AC1" t="s">
        <v>7</v>
      </c>
      <c r="AD1" t="s">
        <v>15</v>
      </c>
      <c r="AE1" t="s">
        <v>6</v>
      </c>
      <c r="AF1" t="s">
        <v>7</v>
      </c>
      <c r="AG1" t="s">
        <v>16</v>
      </c>
      <c r="AH1" t="s">
        <v>246</v>
      </c>
    </row>
    <row r="2" spans="1:34" x14ac:dyDescent="0.3">
      <c r="A2">
        <v>0</v>
      </c>
      <c r="B2" s="1">
        <v>45777</v>
      </c>
      <c r="C2" s="2">
        <v>0.57174768518518515</v>
      </c>
      <c r="D2" t="s">
        <v>126</v>
      </c>
      <c r="E2" t="s">
        <v>18</v>
      </c>
      <c r="F2">
        <v>1.62</v>
      </c>
      <c r="G2" t="s">
        <v>19</v>
      </c>
      <c r="H2" t="s">
        <v>20</v>
      </c>
      <c r="I2">
        <v>536.42999999999995</v>
      </c>
      <c r="J2" t="s">
        <v>21</v>
      </c>
      <c r="K2" t="s">
        <v>20</v>
      </c>
      <c r="L2">
        <v>2.452</v>
      </c>
      <c r="M2" t="s">
        <v>21</v>
      </c>
      <c r="N2" t="s">
        <v>20</v>
      </c>
      <c r="O2">
        <v>0.40239999999999998</v>
      </c>
      <c r="P2" t="s">
        <v>21</v>
      </c>
      <c r="Q2" t="s">
        <v>20</v>
      </c>
      <c r="R2">
        <v>6.2E-2</v>
      </c>
      <c r="S2" t="s">
        <v>21</v>
      </c>
      <c r="T2" t="s">
        <v>20</v>
      </c>
      <c r="U2">
        <v>2.0950000000000002</v>
      </c>
      <c r="V2" t="s">
        <v>21</v>
      </c>
      <c r="W2" t="s">
        <v>20</v>
      </c>
      <c r="X2">
        <v>1018.6</v>
      </c>
      <c r="Y2" t="s">
        <v>22</v>
      </c>
      <c r="Z2" t="s">
        <v>23</v>
      </c>
      <c r="AA2">
        <v>43.97</v>
      </c>
      <c r="AB2" t="s">
        <v>24</v>
      </c>
      <c r="AC2" t="s">
        <v>23</v>
      </c>
      <c r="AD2">
        <v>43.78</v>
      </c>
      <c r="AE2" t="s">
        <v>24</v>
      </c>
      <c r="AF2" t="s">
        <v>23</v>
      </c>
      <c r="AG2" t="s">
        <v>25</v>
      </c>
      <c r="AH2" s="5">
        <f>HOUR(C2)*3600 + MINUTE(C2)*60 + SECOND(C2)</f>
        <v>49399</v>
      </c>
    </row>
    <row r="3" spans="1:34" x14ac:dyDescent="0.3">
      <c r="A3">
        <v>0</v>
      </c>
      <c r="B3" s="1">
        <v>45777</v>
      </c>
      <c r="C3" s="2">
        <v>0.57245370370370374</v>
      </c>
      <c r="D3" t="s">
        <v>127</v>
      </c>
      <c r="E3" t="s">
        <v>18</v>
      </c>
      <c r="F3">
        <v>1.6</v>
      </c>
      <c r="G3" t="s">
        <v>19</v>
      </c>
      <c r="H3" t="s">
        <v>20</v>
      </c>
      <c r="I3" s="14">
        <v>535.48</v>
      </c>
      <c r="J3" t="s">
        <v>21</v>
      </c>
      <c r="K3" t="s">
        <v>20</v>
      </c>
      <c r="L3">
        <v>2.0089999999999999</v>
      </c>
      <c r="M3" t="s">
        <v>21</v>
      </c>
      <c r="N3" t="s">
        <v>20</v>
      </c>
      <c r="O3">
        <v>0.37669999999999998</v>
      </c>
      <c r="P3" t="s">
        <v>21</v>
      </c>
      <c r="Q3" t="s">
        <v>20</v>
      </c>
      <c r="R3">
        <v>7.4999999999999997E-2</v>
      </c>
      <c r="S3" t="s">
        <v>21</v>
      </c>
      <c r="T3" t="s">
        <v>20</v>
      </c>
      <c r="U3">
        <v>2.08</v>
      </c>
      <c r="V3" t="s">
        <v>21</v>
      </c>
      <c r="W3" t="s">
        <v>20</v>
      </c>
      <c r="X3">
        <v>1018.9</v>
      </c>
      <c r="Y3" t="s">
        <v>22</v>
      </c>
      <c r="Z3" t="s">
        <v>23</v>
      </c>
      <c r="AA3">
        <v>44.31</v>
      </c>
      <c r="AB3" t="s">
        <v>24</v>
      </c>
      <c r="AC3" t="s">
        <v>23</v>
      </c>
      <c r="AD3">
        <v>46.69</v>
      </c>
      <c r="AE3" t="s">
        <v>24</v>
      </c>
      <c r="AF3" t="s">
        <v>23</v>
      </c>
      <c r="AG3" t="s">
        <v>25</v>
      </c>
      <c r="AH3" s="5">
        <f t="shared" ref="AH3:AH10" si="0">HOUR(C3)*3600 + MINUTE(C3)*60 + SECOND(C3)</f>
        <v>49460</v>
      </c>
    </row>
    <row r="4" spans="1:34" x14ac:dyDescent="0.3">
      <c r="A4">
        <v>0</v>
      </c>
      <c r="B4" s="1">
        <v>45777</v>
      </c>
      <c r="C4" s="2">
        <v>0.57315972222222222</v>
      </c>
      <c r="D4" t="s">
        <v>128</v>
      </c>
      <c r="E4" t="s">
        <v>18</v>
      </c>
      <c r="F4">
        <v>1.66</v>
      </c>
      <c r="G4" t="s">
        <v>19</v>
      </c>
      <c r="H4" t="s">
        <v>20</v>
      </c>
      <c r="I4" s="14">
        <v>552.52</v>
      </c>
      <c r="J4" t="s">
        <v>21</v>
      </c>
      <c r="K4" t="s">
        <v>20</v>
      </c>
      <c r="L4">
        <v>2.0350000000000001</v>
      </c>
      <c r="M4" t="s">
        <v>21</v>
      </c>
      <c r="N4" t="s">
        <v>20</v>
      </c>
      <c r="O4">
        <v>0.38229999999999997</v>
      </c>
      <c r="P4" t="s">
        <v>21</v>
      </c>
      <c r="Q4" t="s">
        <v>20</v>
      </c>
      <c r="R4">
        <v>0.13700000000000001</v>
      </c>
      <c r="S4" t="s">
        <v>21</v>
      </c>
      <c r="T4" t="s">
        <v>20</v>
      </c>
      <c r="U4">
        <v>2.0750000000000002</v>
      </c>
      <c r="V4" t="s">
        <v>21</v>
      </c>
      <c r="W4" t="s">
        <v>20</v>
      </c>
      <c r="X4">
        <v>1019</v>
      </c>
      <c r="Y4" t="s">
        <v>22</v>
      </c>
      <c r="Z4" t="s">
        <v>23</v>
      </c>
      <c r="AA4">
        <v>44.37</v>
      </c>
      <c r="AB4" t="s">
        <v>24</v>
      </c>
      <c r="AC4" t="s">
        <v>23</v>
      </c>
      <c r="AD4">
        <v>48.65</v>
      </c>
      <c r="AE4" t="s">
        <v>24</v>
      </c>
      <c r="AF4" t="s">
        <v>23</v>
      </c>
      <c r="AG4" t="s">
        <v>25</v>
      </c>
      <c r="AH4" s="5">
        <f t="shared" si="0"/>
        <v>49521</v>
      </c>
    </row>
    <row r="5" spans="1:34" x14ac:dyDescent="0.3">
      <c r="A5">
        <v>0</v>
      </c>
      <c r="B5" s="1">
        <v>45777</v>
      </c>
      <c r="C5" s="2">
        <v>0.5738657407407407</v>
      </c>
      <c r="D5" t="s">
        <v>129</v>
      </c>
      <c r="E5" t="s">
        <v>18</v>
      </c>
      <c r="F5">
        <v>1.73</v>
      </c>
      <c r="G5" t="s">
        <v>19</v>
      </c>
      <c r="H5" t="s">
        <v>20</v>
      </c>
      <c r="I5" s="14">
        <v>568.4</v>
      </c>
      <c r="J5" t="s">
        <v>21</v>
      </c>
      <c r="K5" t="s">
        <v>20</v>
      </c>
      <c r="L5">
        <v>2.048</v>
      </c>
      <c r="M5" t="s">
        <v>21</v>
      </c>
      <c r="N5" t="s">
        <v>20</v>
      </c>
      <c r="O5">
        <v>0.3896</v>
      </c>
      <c r="P5" t="s">
        <v>21</v>
      </c>
      <c r="Q5" t="s">
        <v>20</v>
      </c>
      <c r="R5">
        <v>0.13500000000000001</v>
      </c>
      <c r="S5" t="s">
        <v>21</v>
      </c>
      <c r="T5" t="s">
        <v>20</v>
      </c>
      <c r="U5">
        <v>2.0840000000000001</v>
      </c>
      <c r="V5" t="s">
        <v>21</v>
      </c>
      <c r="W5" t="s">
        <v>20</v>
      </c>
      <c r="X5">
        <v>1019.1</v>
      </c>
      <c r="Y5" t="s">
        <v>22</v>
      </c>
      <c r="Z5" t="s">
        <v>23</v>
      </c>
      <c r="AA5">
        <v>44.4</v>
      </c>
      <c r="AB5" t="s">
        <v>24</v>
      </c>
      <c r="AC5" t="s">
        <v>23</v>
      </c>
      <c r="AD5">
        <v>50.05</v>
      </c>
      <c r="AE5" t="s">
        <v>24</v>
      </c>
      <c r="AF5" t="s">
        <v>23</v>
      </c>
      <c r="AG5" t="s">
        <v>25</v>
      </c>
      <c r="AH5" s="5">
        <f t="shared" si="0"/>
        <v>49582</v>
      </c>
    </row>
    <row r="6" spans="1:34" x14ac:dyDescent="0.3">
      <c r="A6">
        <v>0</v>
      </c>
      <c r="B6" s="1">
        <v>45777</v>
      </c>
      <c r="C6" s="2">
        <v>0.5745717592592593</v>
      </c>
      <c r="D6" t="s">
        <v>130</v>
      </c>
      <c r="E6" t="s">
        <v>18</v>
      </c>
      <c r="F6">
        <v>1.78</v>
      </c>
      <c r="G6" t="s">
        <v>19</v>
      </c>
      <c r="H6" t="s">
        <v>20</v>
      </c>
      <c r="I6" s="14">
        <v>584.95000000000005</v>
      </c>
      <c r="J6" t="s">
        <v>21</v>
      </c>
      <c r="K6" t="s">
        <v>20</v>
      </c>
      <c r="L6">
        <v>2.0129999999999999</v>
      </c>
      <c r="M6" t="s">
        <v>21</v>
      </c>
      <c r="N6" t="s">
        <v>20</v>
      </c>
      <c r="O6">
        <v>0.39550000000000002</v>
      </c>
      <c r="P6" t="s">
        <v>21</v>
      </c>
      <c r="Q6" t="s">
        <v>20</v>
      </c>
      <c r="R6">
        <v>0.16400000000000001</v>
      </c>
      <c r="S6" t="s">
        <v>21</v>
      </c>
      <c r="T6" t="s">
        <v>20</v>
      </c>
      <c r="U6">
        <v>2.0880000000000001</v>
      </c>
      <c r="V6" t="s">
        <v>21</v>
      </c>
      <c r="W6" t="s">
        <v>20</v>
      </c>
      <c r="X6">
        <v>1019.2</v>
      </c>
      <c r="Y6" t="s">
        <v>22</v>
      </c>
      <c r="Z6" t="s">
        <v>23</v>
      </c>
      <c r="AA6">
        <v>44.39</v>
      </c>
      <c r="AB6" t="s">
        <v>24</v>
      </c>
      <c r="AC6" t="s">
        <v>23</v>
      </c>
      <c r="AD6">
        <v>51.2</v>
      </c>
      <c r="AE6" t="s">
        <v>24</v>
      </c>
      <c r="AF6" t="s">
        <v>23</v>
      </c>
      <c r="AG6" t="s">
        <v>25</v>
      </c>
      <c r="AH6" s="5">
        <f t="shared" si="0"/>
        <v>49643</v>
      </c>
    </row>
    <row r="7" spans="1:34" x14ac:dyDescent="0.3">
      <c r="A7">
        <v>0</v>
      </c>
      <c r="B7" s="1">
        <v>45777</v>
      </c>
      <c r="C7" s="2">
        <v>0.57528935185185182</v>
      </c>
      <c r="D7" t="s">
        <v>131</v>
      </c>
      <c r="E7" t="s">
        <v>18</v>
      </c>
      <c r="F7">
        <v>1.84</v>
      </c>
      <c r="G7" t="s">
        <v>19</v>
      </c>
      <c r="H7" t="s">
        <v>20</v>
      </c>
      <c r="I7" s="14">
        <v>595.51</v>
      </c>
      <c r="J7" t="s">
        <v>21</v>
      </c>
      <c r="K7" t="s">
        <v>20</v>
      </c>
      <c r="L7">
        <v>1.9510000000000001</v>
      </c>
      <c r="M7" t="s">
        <v>21</v>
      </c>
      <c r="N7" t="s">
        <v>20</v>
      </c>
      <c r="O7">
        <v>0.3906</v>
      </c>
      <c r="P7" t="s">
        <v>21</v>
      </c>
      <c r="Q7" t="s">
        <v>20</v>
      </c>
      <c r="R7">
        <v>0.16800000000000001</v>
      </c>
      <c r="S7" t="s">
        <v>21</v>
      </c>
      <c r="T7" t="s">
        <v>20</v>
      </c>
      <c r="U7">
        <v>2.0720000000000001</v>
      </c>
      <c r="V7" t="s">
        <v>21</v>
      </c>
      <c r="W7" t="s">
        <v>20</v>
      </c>
      <c r="X7">
        <v>1019.3</v>
      </c>
      <c r="Y7" t="s">
        <v>22</v>
      </c>
      <c r="Z7" t="s">
        <v>23</v>
      </c>
      <c r="AA7">
        <v>44.39</v>
      </c>
      <c r="AB7" t="s">
        <v>24</v>
      </c>
      <c r="AC7" t="s">
        <v>23</v>
      </c>
      <c r="AD7">
        <v>52.08</v>
      </c>
      <c r="AE7" t="s">
        <v>24</v>
      </c>
      <c r="AF7" t="s">
        <v>23</v>
      </c>
      <c r="AG7" t="s">
        <v>25</v>
      </c>
      <c r="AH7" s="5">
        <f t="shared" si="0"/>
        <v>49705</v>
      </c>
    </row>
    <row r="8" spans="1:34" x14ac:dyDescent="0.3">
      <c r="A8">
        <v>0</v>
      </c>
      <c r="B8" s="1">
        <v>45777</v>
      </c>
      <c r="C8" s="2">
        <v>0.57599537037037041</v>
      </c>
      <c r="D8" t="s">
        <v>132</v>
      </c>
      <c r="E8" t="s">
        <v>18</v>
      </c>
      <c r="F8">
        <v>1.88</v>
      </c>
      <c r="G8" t="s">
        <v>19</v>
      </c>
      <c r="H8" t="s">
        <v>20</v>
      </c>
      <c r="I8" s="14">
        <v>611.65</v>
      </c>
      <c r="J8" t="s">
        <v>21</v>
      </c>
      <c r="K8" t="s">
        <v>20</v>
      </c>
      <c r="L8">
        <v>1.982</v>
      </c>
      <c r="M8" t="s">
        <v>21</v>
      </c>
      <c r="N8" t="s">
        <v>20</v>
      </c>
      <c r="O8">
        <v>0.39760000000000001</v>
      </c>
      <c r="P8" t="s">
        <v>21</v>
      </c>
      <c r="Q8" t="s">
        <v>20</v>
      </c>
      <c r="R8">
        <v>0.17799999999999999</v>
      </c>
      <c r="S8" t="s">
        <v>21</v>
      </c>
      <c r="T8" t="s">
        <v>20</v>
      </c>
      <c r="U8">
        <v>2.0760000000000001</v>
      </c>
      <c r="V8" t="s">
        <v>21</v>
      </c>
      <c r="W8" t="s">
        <v>20</v>
      </c>
      <c r="X8">
        <v>1019.5</v>
      </c>
      <c r="Y8" t="s">
        <v>22</v>
      </c>
      <c r="Z8" t="s">
        <v>23</v>
      </c>
      <c r="AA8">
        <v>44.35</v>
      </c>
      <c r="AB8" t="s">
        <v>24</v>
      </c>
      <c r="AC8" t="s">
        <v>23</v>
      </c>
      <c r="AD8">
        <v>52.81</v>
      </c>
      <c r="AE8" t="s">
        <v>24</v>
      </c>
      <c r="AF8" t="s">
        <v>23</v>
      </c>
      <c r="AG8" t="s">
        <v>25</v>
      </c>
      <c r="AH8" s="5">
        <f t="shared" si="0"/>
        <v>49766</v>
      </c>
    </row>
    <row r="9" spans="1:34" x14ac:dyDescent="0.3">
      <c r="A9">
        <v>0</v>
      </c>
      <c r="B9" s="1">
        <v>45777</v>
      </c>
      <c r="C9" s="2">
        <v>0.57670138888888889</v>
      </c>
      <c r="D9" t="s">
        <v>133</v>
      </c>
      <c r="E9" t="s">
        <v>18</v>
      </c>
      <c r="F9">
        <v>1.92</v>
      </c>
      <c r="G9" t="s">
        <v>19</v>
      </c>
      <c r="H9" t="s">
        <v>20</v>
      </c>
      <c r="I9" s="14">
        <v>627.72</v>
      </c>
      <c r="J9" t="s">
        <v>21</v>
      </c>
      <c r="K9" t="s">
        <v>20</v>
      </c>
      <c r="L9">
        <v>1.9730000000000001</v>
      </c>
      <c r="M9" t="s">
        <v>21</v>
      </c>
      <c r="N9" t="s">
        <v>20</v>
      </c>
      <c r="O9">
        <v>0.39639999999999997</v>
      </c>
      <c r="P9" t="s">
        <v>21</v>
      </c>
      <c r="Q9" t="s">
        <v>20</v>
      </c>
      <c r="R9">
        <v>0.20100000000000001</v>
      </c>
      <c r="S9" t="s">
        <v>21</v>
      </c>
      <c r="T9" t="s">
        <v>20</v>
      </c>
      <c r="U9">
        <v>2.0859999999999999</v>
      </c>
      <c r="V9" t="s">
        <v>21</v>
      </c>
      <c r="W9" t="s">
        <v>20</v>
      </c>
      <c r="X9">
        <v>1019.5</v>
      </c>
      <c r="Y9" t="s">
        <v>22</v>
      </c>
      <c r="Z9" t="s">
        <v>23</v>
      </c>
      <c r="AA9">
        <v>44.34</v>
      </c>
      <c r="AB9" t="s">
        <v>24</v>
      </c>
      <c r="AC9" t="s">
        <v>23</v>
      </c>
      <c r="AD9">
        <v>53.46</v>
      </c>
      <c r="AE9" t="s">
        <v>24</v>
      </c>
      <c r="AF9" t="s">
        <v>23</v>
      </c>
      <c r="AG9" t="s">
        <v>25</v>
      </c>
      <c r="AH9" s="5">
        <f t="shared" si="0"/>
        <v>49827</v>
      </c>
    </row>
    <row r="10" spans="1:34" x14ac:dyDescent="0.3">
      <c r="A10">
        <v>0</v>
      </c>
      <c r="B10" s="1">
        <v>45777</v>
      </c>
      <c r="C10" s="2">
        <v>0.57740740740740737</v>
      </c>
      <c r="D10" t="s">
        <v>134</v>
      </c>
      <c r="E10" t="s">
        <v>18</v>
      </c>
      <c r="F10">
        <v>1.98</v>
      </c>
      <c r="G10" t="s">
        <v>19</v>
      </c>
      <c r="H10" t="s">
        <v>20</v>
      </c>
      <c r="I10" s="14">
        <v>640.12</v>
      </c>
      <c r="J10" t="s">
        <v>21</v>
      </c>
      <c r="K10" t="s">
        <v>20</v>
      </c>
      <c r="L10">
        <v>1.929</v>
      </c>
      <c r="M10" t="s">
        <v>21</v>
      </c>
      <c r="N10" t="s">
        <v>20</v>
      </c>
      <c r="O10">
        <v>0.40550000000000003</v>
      </c>
      <c r="P10" t="s">
        <v>21</v>
      </c>
      <c r="Q10" t="s">
        <v>20</v>
      </c>
      <c r="R10">
        <v>0.192</v>
      </c>
      <c r="S10" t="s">
        <v>21</v>
      </c>
      <c r="T10" t="s">
        <v>20</v>
      </c>
      <c r="U10">
        <v>2.06</v>
      </c>
      <c r="V10" t="s">
        <v>21</v>
      </c>
      <c r="W10" t="s">
        <v>20</v>
      </c>
      <c r="X10">
        <v>1019.6</v>
      </c>
      <c r="Y10" t="s">
        <v>22</v>
      </c>
      <c r="Z10" t="s">
        <v>23</v>
      </c>
      <c r="AA10">
        <v>44.35</v>
      </c>
      <c r="AB10" t="s">
        <v>24</v>
      </c>
      <c r="AC10" t="s">
        <v>23</v>
      </c>
      <c r="AD10">
        <v>53.98</v>
      </c>
      <c r="AE10" t="s">
        <v>24</v>
      </c>
      <c r="AF10" t="s">
        <v>23</v>
      </c>
      <c r="AG10" t="s">
        <v>25</v>
      </c>
      <c r="AH10" s="5">
        <f t="shared" si="0"/>
        <v>49888</v>
      </c>
    </row>
    <row r="13" spans="1:34" ht="23.4" x14ac:dyDescent="0.45">
      <c r="A13" s="3" t="s">
        <v>231</v>
      </c>
      <c r="O13" s="4" t="s">
        <v>232</v>
      </c>
    </row>
    <row r="14" spans="1:34" x14ac:dyDescent="0.3">
      <c r="B14" t="s">
        <v>233</v>
      </c>
      <c r="C14">
        <f>L21</f>
        <v>104.63999999999999</v>
      </c>
      <c r="F14" t="s">
        <v>234</v>
      </c>
      <c r="G14" s="5">
        <f>C16</f>
        <v>0.24448598130841118</v>
      </c>
      <c r="M14" s="5"/>
      <c r="P14" t="s">
        <v>233</v>
      </c>
      <c r="Q14">
        <f>Z21</f>
        <v>2.8800000000000048E-2</v>
      </c>
      <c r="T14" t="s">
        <v>234</v>
      </c>
      <c r="U14" s="5">
        <f>Q16</f>
        <v>6.7289719626168333E-5</v>
      </c>
      <c r="AA14" s="7"/>
    </row>
    <row r="15" spans="1:34" x14ac:dyDescent="0.3">
      <c r="B15" t="s">
        <v>2</v>
      </c>
      <c r="C15" s="5">
        <f>M21</f>
        <v>428</v>
      </c>
      <c r="F15" t="s">
        <v>235</v>
      </c>
      <c r="G15" s="8">
        <v>9.6699999999999998E-3</v>
      </c>
      <c r="M15" s="5"/>
      <c r="P15" t="s">
        <v>2</v>
      </c>
      <c r="Q15" s="5">
        <f>AA21</f>
        <v>428</v>
      </c>
      <c r="T15" t="s">
        <v>235</v>
      </c>
      <c r="U15" s="8">
        <v>9.6699999999999998E-3</v>
      </c>
      <c r="AA15" s="7"/>
    </row>
    <row r="16" spans="1:34" x14ac:dyDescent="0.3">
      <c r="B16" t="s">
        <v>236</v>
      </c>
      <c r="C16" s="5">
        <f>C14/C15</f>
        <v>0.24448598130841118</v>
      </c>
      <c r="F16" t="s">
        <v>237</v>
      </c>
      <c r="G16">
        <f>22.4*10^-3</f>
        <v>2.24E-2</v>
      </c>
      <c r="M16" s="5"/>
      <c r="P16" t="s">
        <v>236</v>
      </c>
      <c r="Q16" s="9">
        <f>Q14/Q15</f>
        <v>6.7289719626168333E-5</v>
      </c>
      <c r="T16" t="s">
        <v>237</v>
      </c>
      <c r="U16">
        <f>22.4*10^-3</f>
        <v>2.24E-2</v>
      </c>
      <c r="AA16" s="7"/>
    </row>
    <row r="17" spans="6:27" x14ac:dyDescent="0.3">
      <c r="F17" s="10" t="s">
        <v>238</v>
      </c>
      <c r="G17" s="10">
        <v>12.8</v>
      </c>
      <c r="H17" t="s">
        <v>239</v>
      </c>
      <c r="I17">
        <f>G17+273</f>
        <v>285.8</v>
      </c>
      <c r="M17" s="5"/>
      <c r="T17" s="10" t="s">
        <v>238</v>
      </c>
      <c r="U17" s="10">
        <v>12.8</v>
      </c>
      <c r="V17" t="s">
        <v>239</v>
      </c>
      <c r="W17">
        <f>U17+273</f>
        <v>285.8</v>
      </c>
      <c r="AA17" s="7"/>
    </row>
    <row r="18" spans="6:27" x14ac:dyDescent="0.3">
      <c r="F18" t="s">
        <v>240</v>
      </c>
      <c r="G18">
        <v>273</v>
      </c>
      <c r="M18" s="5"/>
      <c r="T18" t="s">
        <v>240</v>
      </c>
      <c r="U18">
        <v>273</v>
      </c>
      <c r="AA18" s="7"/>
    </row>
    <row r="19" spans="6:27" x14ac:dyDescent="0.3">
      <c r="F19" t="s">
        <v>241</v>
      </c>
      <c r="G19">
        <v>3.1399999999999997E-2</v>
      </c>
      <c r="M19" s="5"/>
      <c r="T19" t="s">
        <v>241</v>
      </c>
      <c r="U19">
        <v>3.1399999999999997E-2</v>
      </c>
      <c r="AA19" s="7"/>
    </row>
    <row r="20" spans="6:27" x14ac:dyDescent="0.3">
      <c r="L20" s="14" t="s">
        <v>247</v>
      </c>
      <c r="M20" s="15" t="s">
        <v>248</v>
      </c>
      <c r="Z20" s="14" t="s">
        <v>249</v>
      </c>
      <c r="AA20" s="16" t="s">
        <v>248</v>
      </c>
    </row>
    <row r="21" spans="6:27" x14ac:dyDescent="0.3">
      <c r="F21" t="s">
        <v>242</v>
      </c>
      <c r="G21">
        <f>G18/I17</f>
        <v>0.95521343596920916</v>
      </c>
      <c r="L21">
        <f>I10-I3</f>
        <v>104.63999999999999</v>
      </c>
      <c r="M21" s="7">
        <f>AH10-AH3</f>
        <v>428</v>
      </c>
      <c r="T21" t="s">
        <v>242</v>
      </c>
      <c r="U21">
        <f>U18/W17</f>
        <v>0.95521343596920916</v>
      </c>
      <c r="Z21">
        <f>O10-O3</f>
        <v>2.8800000000000048E-2</v>
      </c>
      <c r="AA21" s="7">
        <f>AH10-AH3</f>
        <v>428</v>
      </c>
    </row>
    <row r="22" spans="6:27" x14ac:dyDescent="0.3">
      <c r="F22" t="s">
        <v>243</v>
      </c>
      <c r="G22">
        <f>1/G19</f>
        <v>31.847133757961785</v>
      </c>
      <c r="M22" s="11">
        <f>M21/60</f>
        <v>7.1333333333333337</v>
      </c>
      <c r="T22" t="s">
        <v>243</v>
      </c>
      <c r="U22">
        <f>1/U19</f>
        <v>31.847133757961785</v>
      </c>
      <c r="AA22" s="11"/>
    </row>
    <row r="23" spans="6:27" x14ac:dyDescent="0.3">
      <c r="F23" t="s">
        <v>244</v>
      </c>
      <c r="G23">
        <f>G16/G21</f>
        <v>2.3450256410256411E-2</v>
      </c>
      <c r="T23" t="s">
        <v>244</v>
      </c>
      <c r="U23">
        <f>U16/U21</f>
        <v>2.3450256410256411E-2</v>
      </c>
      <c r="AA23" s="7"/>
    </row>
    <row r="24" spans="6:27" x14ac:dyDescent="0.3">
      <c r="L24" s="6">
        <f>(L21/M21)*(G15/G16)/G19</f>
        <v>3.3612651263255464</v>
      </c>
      <c r="Z24" s="6">
        <f>(Z21/AA21)*(U15/U16)/U19</f>
        <v>9.2511884210795016E-4</v>
      </c>
      <c r="AA24" s="7"/>
    </row>
    <row r="25" spans="6:27" x14ac:dyDescent="0.3">
      <c r="F25" s="10">
        <f>(G14)*(G15/G23)*(G22)</f>
        <v>3.2107256105209028</v>
      </c>
      <c r="T25" s="10">
        <f>(U14)*(U15/U23)*(U22)</f>
        <v>8.8368594784979132E-4</v>
      </c>
      <c r="AA25" s="7"/>
    </row>
    <row r="27" spans="6:27" x14ac:dyDescent="0.3">
      <c r="Y27" s="12" t="s">
        <v>245</v>
      </c>
      <c r="Z27" s="12">
        <f>Z24*298</f>
        <v>0.27568541494816917</v>
      </c>
      <c r="AA27" s="7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E3440-6C14-41DE-9FD6-E26F647284DF}">
  <dimension ref="A1:AH27"/>
  <sheetViews>
    <sheetView topLeftCell="H15" workbookViewId="0">
      <selection activeCell="Z27" sqref="Z27"/>
    </sheetView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</v>
      </c>
      <c r="K1" t="s">
        <v>7</v>
      </c>
      <c r="L1" t="s">
        <v>9</v>
      </c>
      <c r="M1" t="s">
        <v>6</v>
      </c>
      <c r="N1" t="s">
        <v>7</v>
      </c>
      <c r="O1" t="s">
        <v>10</v>
      </c>
      <c r="P1" t="s">
        <v>6</v>
      </c>
      <c r="Q1" t="s">
        <v>7</v>
      </c>
      <c r="R1" t="s">
        <v>11</v>
      </c>
      <c r="S1" t="s">
        <v>6</v>
      </c>
      <c r="T1" t="s">
        <v>7</v>
      </c>
      <c r="U1" t="s">
        <v>12</v>
      </c>
      <c r="V1" t="s">
        <v>6</v>
      </c>
      <c r="W1" t="s">
        <v>7</v>
      </c>
      <c r="X1" t="s">
        <v>13</v>
      </c>
      <c r="Y1" t="s">
        <v>6</v>
      </c>
      <c r="Z1" t="s">
        <v>7</v>
      </c>
      <c r="AA1" t="s">
        <v>14</v>
      </c>
      <c r="AB1" t="s">
        <v>6</v>
      </c>
      <c r="AC1" t="s">
        <v>7</v>
      </c>
      <c r="AD1" t="s">
        <v>15</v>
      </c>
      <c r="AE1" t="s">
        <v>6</v>
      </c>
      <c r="AF1" t="s">
        <v>7</v>
      </c>
      <c r="AG1" t="s">
        <v>16</v>
      </c>
      <c r="AH1" t="s">
        <v>246</v>
      </c>
    </row>
    <row r="2" spans="1:34" x14ac:dyDescent="0.3">
      <c r="A2">
        <v>0</v>
      </c>
      <c r="B2" s="1">
        <v>45777</v>
      </c>
      <c r="C2" s="2">
        <v>0.5794907407407407</v>
      </c>
      <c r="D2" t="s">
        <v>135</v>
      </c>
      <c r="E2" t="s">
        <v>18</v>
      </c>
      <c r="F2">
        <v>1.62</v>
      </c>
      <c r="G2" t="s">
        <v>19</v>
      </c>
      <c r="H2" t="s">
        <v>20</v>
      </c>
      <c r="I2">
        <v>500.5</v>
      </c>
      <c r="J2" t="s">
        <v>21</v>
      </c>
      <c r="K2" t="s">
        <v>20</v>
      </c>
      <c r="L2">
        <v>1.9330000000000001</v>
      </c>
      <c r="M2" t="s">
        <v>21</v>
      </c>
      <c r="N2" t="s">
        <v>20</v>
      </c>
      <c r="O2">
        <v>0.38090000000000002</v>
      </c>
      <c r="P2" t="s">
        <v>21</v>
      </c>
      <c r="Q2" t="s">
        <v>20</v>
      </c>
      <c r="R2">
        <v>0.10199999999999999</v>
      </c>
      <c r="S2" t="s">
        <v>21</v>
      </c>
      <c r="T2" t="s">
        <v>20</v>
      </c>
      <c r="U2">
        <v>2.1230000000000002</v>
      </c>
      <c r="V2" t="s">
        <v>21</v>
      </c>
      <c r="W2" t="s">
        <v>20</v>
      </c>
      <c r="X2">
        <v>1019.8</v>
      </c>
      <c r="Y2" t="s">
        <v>22</v>
      </c>
      <c r="Z2" t="s">
        <v>23</v>
      </c>
      <c r="AA2">
        <v>44.58</v>
      </c>
      <c r="AB2" t="s">
        <v>24</v>
      </c>
      <c r="AC2" t="s">
        <v>23</v>
      </c>
      <c r="AD2">
        <v>55.26</v>
      </c>
      <c r="AE2" t="s">
        <v>24</v>
      </c>
      <c r="AF2" t="s">
        <v>23</v>
      </c>
      <c r="AG2" t="s">
        <v>25</v>
      </c>
      <c r="AH2" s="5">
        <f>HOUR(C2)*3600 + MINUTE(C2)*60 + SECOND(C2)</f>
        <v>50068</v>
      </c>
    </row>
    <row r="3" spans="1:34" x14ac:dyDescent="0.3">
      <c r="A3">
        <v>0</v>
      </c>
      <c r="B3" s="1">
        <v>45777</v>
      </c>
      <c r="C3" s="2">
        <v>0.58019675925925929</v>
      </c>
      <c r="D3" t="s">
        <v>136</v>
      </c>
      <c r="E3" t="s">
        <v>18</v>
      </c>
      <c r="F3">
        <v>1.58</v>
      </c>
      <c r="G3" t="s">
        <v>19</v>
      </c>
      <c r="H3" t="s">
        <v>20</v>
      </c>
      <c r="I3" s="14">
        <v>478.09</v>
      </c>
      <c r="J3" t="s">
        <v>21</v>
      </c>
      <c r="K3" t="s">
        <v>20</v>
      </c>
      <c r="L3">
        <v>1.946</v>
      </c>
      <c r="M3" t="s">
        <v>21</v>
      </c>
      <c r="N3" t="s">
        <v>20</v>
      </c>
      <c r="O3">
        <v>0.3866</v>
      </c>
      <c r="P3" t="s">
        <v>21</v>
      </c>
      <c r="Q3" t="s">
        <v>20</v>
      </c>
      <c r="R3">
        <v>4.7E-2</v>
      </c>
      <c r="S3" t="s">
        <v>21</v>
      </c>
      <c r="T3" t="s">
        <v>20</v>
      </c>
      <c r="U3">
        <v>2.13</v>
      </c>
      <c r="V3" t="s">
        <v>21</v>
      </c>
      <c r="W3" t="s">
        <v>20</v>
      </c>
      <c r="X3">
        <v>1019.8</v>
      </c>
      <c r="Y3" t="s">
        <v>22</v>
      </c>
      <c r="Z3" t="s">
        <v>23</v>
      </c>
      <c r="AA3">
        <v>44.95</v>
      </c>
      <c r="AB3" t="s">
        <v>24</v>
      </c>
      <c r="AC3" t="s">
        <v>23</v>
      </c>
      <c r="AD3">
        <v>55.65</v>
      </c>
      <c r="AE3" t="s">
        <v>24</v>
      </c>
      <c r="AF3" t="s">
        <v>23</v>
      </c>
      <c r="AG3" t="s">
        <v>25</v>
      </c>
      <c r="AH3" s="5">
        <f t="shared" ref="AH3:AH10" si="0">HOUR(C3)*3600 + MINUTE(C3)*60 + SECOND(C3)</f>
        <v>50129</v>
      </c>
    </row>
    <row r="4" spans="1:34" x14ac:dyDescent="0.3">
      <c r="A4">
        <v>0</v>
      </c>
      <c r="B4" s="1">
        <v>45777</v>
      </c>
      <c r="C4" s="2">
        <v>0.58090277777777777</v>
      </c>
      <c r="D4" t="s">
        <v>137</v>
      </c>
      <c r="E4" t="s">
        <v>18</v>
      </c>
      <c r="F4">
        <v>1.66</v>
      </c>
      <c r="G4" t="s">
        <v>19</v>
      </c>
      <c r="H4" t="s">
        <v>20</v>
      </c>
      <c r="I4" s="14">
        <v>493.84</v>
      </c>
      <c r="J4" t="s">
        <v>21</v>
      </c>
      <c r="K4" t="s">
        <v>20</v>
      </c>
      <c r="L4">
        <v>1.9370000000000001</v>
      </c>
      <c r="M4" t="s">
        <v>21</v>
      </c>
      <c r="N4" t="s">
        <v>20</v>
      </c>
      <c r="O4" s="14">
        <v>0.379</v>
      </c>
      <c r="P4" t="s">
        <v>21</v>
      </c>
      <c r="Q4" t="s">
        <v>20</v>
      </c>
      <c r="R4">
        <v>3.2000000000000001E-2</v>
      </c>
      <c r="S4" t="s">
        <v>21</v>
      </c>
      <c r="T4" t="s">
        <v>20</v>
      </c>
      <c r="U4">
        <v>2.11</v>
      </c>
      <c r="V4" t="s">
        <v>21</v>
      </c>
      <c r="W4" t="s">
        <v>20</v>
      </c>
      <c r="X4">
        <v>1019.8</v>
      </c>
      <c r="Y4" t="s">
        <v>22</v>
      </c>
      <c r="Z4" t="s">
        <v>23</v>
      </c>
      <c r="AA4">
        <v>45.2</v>
      </c>
      <c r="AB4" t="s">
        <v>24</v>
      </c>
      <c r="AC4" t="s">
        <v>23</v>
      </c>
      <c r="AD4">
        <v>55.97</v>
      </c>
      <c r="AE4" t="s">
        <v>24</v>
      </c>
      <c r="AF4" t="s">
        <v>23</v>
      </c>
      <c r="AG4" t="s">
        <v>25</v>
      </c>
      <c r="AH4" s="5">
        <f t="shared" si="0"/>
        <v>50190</v>
      </c>
    </row>
    <row r="5" spans="1:34" x14ac:dyDescent="0.3">
      <c r="A5">
        <v>0</v>
      </c>
      <c r="B5" s="1">
        <v>45777</v>
      </c>
      <c r="C5" s="2">
        <v>0.58160879629629625</v>
      </c>
      <c r="D5" t="s">
        <v>138</v>
      </c>
      <c r="E5" t="s">
        <v>18</v>
      </c>
      <c r="F5">
        <v>1.72</v>
      </c>
      <c r="G5" t="s">
        <v>19</v>
      </c>
      <c r="H5" t="s">
        <v>20</v>
      </c>
      <c r="I5" s="14">
        <v>511.88</v>
      </c>
      <c r="J5" t="s">
        <v>21</v>
      </c>
      <c r="K5" t="s">
        <v>20</v>
      </c>
      <c r="L5">
        <v>1.9650000000000001</v>
      </c>
      <c r="M5" t="s">
        <v>21</v>
      </c>
      <c r="N5" t="s">
        <v>20</v>
      </c>
      <c r="O5" s="14">
        <v>0.38840000000000002</v>
      </c>
      <c r="P5" t="s">
        <v>21</v>
      </c>
      <c r="Q5" t="s">
        <v>20</v>
      </c>
      <c r="R5">
        <v>5.8000000000000003E-2</v>
      </c>
      <c r="S5" t="s">
        <v>21</v>
      </c>
      <c r="T5" t="s">
        <v>20</v>
      </c>
      <c r="U5">
        <v>2.1080000000000001</v>
      </c>
      <c r="V5" t="s">
        <v>21</v>
      </c>
      <c r="W5" t="s">
        <v>20</v>
      </c>
      <c r="X5">
        <v>1019.7</v>
      </c>
      <c r="Y5" t="s">
        <v>22</v>
      </c>
      <c r="Z5" t="s">
        <v>23</v>
      </c>
      <c r="AA5">
        <v>45.28</v>
      </c>
      <c r="AB5" t="s">
        <v>24</v>
      </c>
      <c r="AC5" t="s">
        <v>23</v>
      </c>
      <c r="AD5">
        <v>56.14</v>
      </c>
      <c r="AE5" t="s">
        <v>24</v>
      </c>
      <c r="AF5" t="s">
        <v>23</v>
      </c>
      <c r="AG5" t="s">
        <v>25</v>
      </c>
      <c r="AH5" s="5">
        <f t="shared" si="0"/>
        <v>50251</v>
      </c>
    </row>
    <row r="6" spans="1:34" x14ac:dyDescent="0.3">
      <c r="A6">
        <v>0</v>
      </c>
      <c r="B6" s="1">
        <v>45777</v>
      </c>
      <c r="C6" s="2">
        <v>0.58231481481481484</v>
      </c>
      <c r="D6" t="s">
        <v>139</v>
      </c>
      <c r="E6" t="s">
        <v>18</v>
      </c>
      <c r="F6">
        <v>1.77</v>
      </c>
      <c r="G6" t="s">
        <v>19</v>
      </c>
      <c r="H6" t="s">
        <v>20</v>
      </c>
      <c r="I6" s="14">
        <v>527.4</v>
      </c>
      <c r="J6" t="s">
        <v>21</v>
      </c>
      <c r="K6" t="s">
        <v>20</v>
      </c>
      <c r="L6">
        <v>1.964</v>
      </c>
      <c r="M6" t="s">
        <v>21</v>
      </c>
      <c r="N6" t="s">
        <v>20</v>
      </c>
      <c r="O6" s="14">
        <v>0.3906</v>
      </c>
      <c r="P6" t="s">
        <v>21</v>
      </c>
      <c r="Q6" t="s">
        <v>20</v>
      </c>
      <c r="R6">
        <v>0.13300000000000001</v>
      </c>
      <c r="S6" t="s">
        <v>21</v>
      </c>
      <c r="T6" t="s">
        <v>20</v>
      </c>
      <c r="U6">
        <v>2.1269999999999998</v>
      </c>
      <c r="V6" t="s">
        <v>21</v>
      </c>
      <c r="W6" t="s">
        <v>20</v>
      </c>
      <c r="X6">
        <v>1019.7</v>
      </c>
      <c r="Y6" t="s">
        <v>22</v>
      </c>
      <c r="Z6" t="s">
        <v>23</v>
      </c>
      <c r="AA6">
        <v>45.47</v>
      </c>
      <c r="AB6" t="s">
        <v>24</v>
      </c>
      <c r="AC6" t="s">
        <v>23</v>
      </c>
      <c r="AD6">
        <v>56.3</v>
      </c>
      <c r="AE6" t="s">
        <v>24</v>
      </c>
      <c r="AF6" t="s">
        <v>23</v>
      </c>
      <c r="AG6" t="s">
        <v>25</v>
      </c>
      <c r="AH6" s="5">
        <f t="shared" si="0"/>
        <v>50312</v>
      </c>
    </row>
    <row r="7" spans="1:34" x14ac:dyDescent="0.3">
      <c r="A7">
        <v>0</v>
      </c>
      <c r="B7" s="1">
        <v>45777</v>
      </c>
      <c r="C7" s="2">
        <v>0.58303240740740736</v>
      </c>
      <c r="D7" t="s">
        <v>140</v>
      </c>
      <c r="E7" t="s">
        <v>18</v>
      </c>
      <c r="F7">
        <v>1.82</v>
      </c>
      <c r="G7" t="s">
        <v>19</v>
      </c>
      <c r="H7" t="s">
        <v>20</v>
      </c>
      <c r="I7" s="14">
        <v>543.85</v>
      </c>
      <c r="J7" t="s">
        <v>21</v>
      </c>
      <c r="K7" t="s">
        <v>20</v>
      </c>
      <c r="L7">
        <v>1.984</v>
      </c>
      <c r="M7" t="s">
        <v>21</v>
      </c>
      <c r="N7" t="s">
        <v>20</v>
      </c>
      <c r="O7" s="14">
        <v>0.39629999999999999</v>
      </c>
      <c r="P7" t="s">
        <v>21</v>
      </c>
      <c r="Q7" t="s">
        <v>20</v>
      </c>
      <c r="R7">
        <v>0.13700000000000001</v>
      </c>
      <c r="S7" t="s">
        <v>21</v>
      </c>
      <c r="T7" t="s">
        <v>20</v>
      </c>
      <c r="U7">
        <v>2.0920000000000001</v>
      </c>
      <c r="V7" t="s">
        <v>21</v>
      </c>
      <c r="W7" t="s">
        <v>20</v>
      </c>
      <c r="X7">
        <v>1019.8</v>
      </c>
      <c r="Y7" t="s">
        <v>22</v>
      </c>
      <c r="Z7" t="s">
        <v>23</v>
      </c>
      <c r="AA7">
        <v>45.59</v>
      </c>
      <c r="AB7" t="s">
        <v>24</v>
      </c>
      <c r="AC7" t="s">
        <v>23</v>
      </c>
      <c r="AD7">
        <v>56.31</v>
      </c>
      <c r="AE7" t="s">
        <v>24</v>
      </c>
      <c r="AF7" t="s">
        <v>23</v>
      </c>
      <c r="AG7" t="s">
        <v>25</v>
      </c>
      <c r="AH7" s="5">
        <f t="shared" si="0"/>
        <v>50374</v>
      </c>
    </row>
    <row r="8" spans="1:34" x14ac:dyDescent="0.3">
      <c r="A8">
        <v>0</v>
      </c>
      <c r="B8" s="1">
        <v>45777</v>
      </c>
      <c r="C8" s="2">
        <v>0.58373842592592595</v>
      </c>
      <c r="D8" t="s">
        <v>141</v>
      </c>
      <c r="E8" t="s">
        <v>18</v>
      </c>
      <c r="F8">
        <v>1.85</v>
      </c>
      <c r="G8" t="s">
        <v>19</v>
      </c>
      <c r="H8" t="s">
        <v>20</v>
      </c>
      <c r="I8" s="14">
        <v>559.16999999999996</v>
      </c>
      <c r="J8" t="s">
        <v>21</v>
      </c>
      <c r="K8" t="s">
        <v>20</v>
      </c>
      <c r="L8">
        <v>2.0110000000000001</v>
      </c>
      <c r="M8" t="s">
        <v>21</v>
      </c>
      <c r="N8" t="s">
        <v>20</v>
      </c>
      <c r="O8" s="14">
        <v>0.40510000000000002</v>
      </c>
      <c r="P8" t="s">
        <v>21</v>
      </c>
      <c r="Q8" t="s">
        <v>20</v>
      </c>
      <c r="R8">
        <v>8.2000000000000003E-2</v>
      </c>
      <c r="S8" t="s">
        <v>21</v>
      </c>
      <c r="T8" t="s">
        <v>20</v>
      </c>
      <c r="U8">
        <v>2.105</v>
      </c>
      <c r="V8" t="s">
        <v>21</v>
      </c>
      <c r="W8" t="s">
        <v>20</v>
      </c>
      <c r="X8">
        <v>1019.7</v>
      </c>
      <c r="Y8" t="s">
        <v>22</v>
      </c>
      <c r="Z8" t="s">
        <v>23</v>
      </c>
      <c r="AA8">
        <v>45.61</v>
      </c>
      <c r="AB8" t="s">
        <v>24</v>
      </c>
      <c r="AC8" t="s">
        <v>23</v>
      </c>
      <c r="AD8">
        <v>56.41</v>
      </c>
      <c r="AE8" t="s">
        <v>24</v>
      </c>
      <c r="AF8" t="s">
        <v>23</v>
      </c>
      <c r="AG8" t="s">
        <v>25</v>
      </c>
      <c r="AH8" s="5">
        <f t="shared" si="0"/>
        <v>50435</v>
      </c>
    </row>
    <row r="9" spans="1:34" x14ac:dyDescent="0.3">
      <c r="A9">
        <v>0</v>
      </c>
      <c r="B9" s="1">
        <v>45777</v>
      </c>
      <c r="C9" s="2">
        <v>0.58444444444444443</v>
      </c>
      <c r="D9" t="s">
        <v>142</v>
      </c>
      <c r="E9" t="s">
        <v>18</v>
      </c>
      <c r="F9">
        <v>1.88</v>
      </c>
      <c r="G9" t="s">
        <v>19</v>
      </c>
      <c r="H9" t="s">
        <v>20</v>
      </c>
      <c r="I9" s="14">
        <v>574.65</v>
      </c>
      <c r="J9" t="s">
        <v>21</v>
      </c>
      <c r="K9" t="s">
        <v>20</v>
      </c>
      <c r="L9">
        <v>2.0009999999999999</v>
      </c>
      <c r="M9" t="s">
        <v>21</v>
      </c>
      <c r="N9" t="s">
        <v>20</v>
      </c>
      <c r="O9" s="14">
        <v>0.4073</v>
      </c>
      <c r="P9" t="s">
        <v>21</v>
      </c>
      <c r="Q9" t="s">
        <v>20</v>
      </c>
      <c r="R9">
        <v>0.111</v>
      </c>
      <c r="S9" t="s">
        <v>21</v>
      </c>
      <c r="T9" t="s">
        <v>20</v>
      </c>
      <c r="U9">
        <v>2.121</v>
      </c>
      <c r="V9" t="s">
        <v>21</v>
      </c>
      <c r="W9" t="s">
        <v>20</v>
      </c>
      <c r="X9">
        <v>1019.8</v>
      </c>
      <c r="Y9" t="s">
        <v>22</v>
      </c>
      <c r="Z9" t="s">
        <v>23</v>
      </c>
      <c r="AA9">
        <v>45.68</v>
      </c>
      <c r="AB9" t="s">
        <v>24</v>
      </c>
      <c r="AC9" t="s">
        <v>23</v>
      </c>
      <c r="AD9">
        <v>56.47</v>
      </c>
      <c r="AE9" t="s">
        <v>24</v>
      </c>
      <c r="AF9" t="s">
        <v>23</v>
      </c>
      <c r="AG9" t="s">
        <v>25</v>
      </c>
      <c r="AH9" s="5">
        <f t="shared" si="0"/>
        <v>50496</v>
      </c>
    </row>
    <row r="10" spans="1:34" x14ac:dyDescent="0.3">
      <c r="A10">
        <v>0</v>
      </c>
      <c r="B10" s="1">
        <v>45777</v>
      </c>
      <c r="C10" s="2">
        <v>0.58515046296296291</v>
      </c>
      <c r="D10" t="s">
        <v>143</v>
      </c>
      <c r="E10" t="s">
        <v>18</v>
      </c>
      <c r="F10">
        <v>1.92</v>
      </c>
      <c r="G10" t="s">
        <v>19</v>
      </c>
      <c r="H10" t="s">
        <v>20</v>
      </c>
      <c r="I10" s="14">
        <v>588.02</v>
      </c>
      <c r="J10" t="s">
        <v>21</v>
      </c>
      <c r="K10" t="s">
        <v>20</v>
      </c>
      <c r="L10">
        <v>1.962</v>
      </c>
      <c r="M10" t="s">
        <v>21</v>
      </c>
      <c r="N10" t="s">
        <v>20</v>
      </c>
      <c r="O10" s="14">
        <v>0.4093</v>
      </c>
      <c r="P10" t="s">
        <v>21</v>
      </c>
      <c r="Q10" t="s">
        <v>20</v>
      </c>
      <c r="R10">
        <v>8.1000000000000003E-2</v>
      </c>
      <c r="S10" t="s">
        <v>21</v>
      </c>
      <c r="T10" t="s">
        <v>20</v>
      </c>
      <c r="U10">
        <v>2.1080000000000001</v>
      </c>
      <c r="V10" t="s">
        <v>21</v>
      </c>
      <c r="W10" t="s">
        <v>20</v>
      </c>
      <c r="X10">
        <v>1019.8</v>
      </c>
      <c r="Y10" t="s">
        <v>22</v>
      </c>
      <c r="Z10" t="s">
        <v>23</v>
      </c>
      <c r="AA10">
        <v>45.78</v>
      </c>
      <c r="AB10" t="s">
        <v>24</v>
      </c>
      <c r="AC10" t="s">
        <v>23</v>
      </c>
      <c r="AD10">
        <v>56.53</v>
      </c>
      <c r="AE10" t="s">
        <v>24</v>
      </c>
      <c r="AF10" t="s">
        <v>23</v>
      </c>
      <c r="AG10" t="s">
        <v>25</v>
      </c>
      <c r="AH10" s="5">
        <f t="shared" si="0"/>
        <v>50557</v>
      </c>
    </row>
    <row r="13" spans="1:34" ht="23.4" x14ac:dyDescent="0.45">
      <c r="A13" s="3" t="s">
        <v>231</v>
      </c>
      <c r="O13" s="4" t="s">
        <v>232</v>
      </c>
    </row>
    <row r="14" spans="1:34" x14ac:dyDescent="0.3">
      <c r="B14" t="s">
        <v>233</v>
      </c>
      <c r="C14">
        <f>L21</f>
        <v>109.93</v>
      </c>
      <c r="F14" t="s">
        <v>234</v>
      </c>
      <c r="G14" s="5">
        <f>C16</f>
        <v>0.25684579439252336</v>
      </c>
      <c r="M14" s="5"/>
      <c r="P14" t="s">
        <v>233</v>
      </c>
      <c r="Q14">
        <f>Z21</f>
        <v>3.0299999999999994E-2</v>
      </c>
      <c r="T14" t="s">
        <v>234</v>
      </c>
      <c r="U14" s="5">
        <f>Q16</f>
        <v>8.2561307901907337E-5</v>
      </c>
      <c r="AA14" s="7"/>
    </row>
    <row r="15" spans="1:34" x14ac:dyDescent="0.3">
      <c r="B15" t="s">
        <v>2</v>
      </c>
      <c r="C15" s="5">
        <f>M21</f>
        <v>428</v>
      </c>
      <c r="F15" t="s">
        <v>235</v>
      </c>
      <c r="G15" s="8">
        <v>9.6699999999999998E-3</v>
      </c>
      <c r="M15" s="5"/>
      <c r="P15" t="s">
        <v>2</v>
      </c>
      <c r="Q15" s="5">
        <f>AA21</f>
        <v>367</v>
      </c>
      <c r="T15" t="s">
        <v>235</v>
      </c>
      <c r="U15" s="8">
        <v>9.6699999999999998E-3</v>
      </c>
      <c r="AA15" s="7"/>
    </row>
    <row r="16" spans="1:34" x14ac:dyDescent="0.3">
      <c r="B16" t="s">
        <v>236</v>
      </c>
      <c r="C16" s="5">
        <f>C14/C15</f>
        <v>0.25684579439252336</v>
      </c>
      <c r="F16" t="s">
        <v>237</v>
      </c>
      <c r="G16">
        <f>22.4*10^-3</f>
        <v>2.24E-2</v>
      </c>
      <c r="M16" s="5"/>
      <c r="P16" t="s">
        <v>236</v>
      </c>
      <c r="Q16" s="9">
        <f>Q14/Q15</f>
        <v>8.2561307901907337E-5</v>
      </c>
      <c r="T16" t="s">
        <v>237</v>
      </c>
      <c r="U16">
        <f>22.4*10^-3</f>
        <v>2.24E-2</v>
      </c>
      <c r="AA16" s="7"/>
    </row>
    <row r="17" spans="6:27" x14ac:dyDescent="0.3">
      <c r="F17" s="10" t="s">
        <v>238</v>
      </c>
      <c r="G17" s="10">
        <v>12.8</v>
      </c>
      <c r="H17" t="s">
        <v>239</v>
      </c>
      <c r="I17">
        <f>G17+273</f>
        <v>285.8</v>
      </c>
      <c r="M17" s="5"/>
      <c r="T17" s="10" t="s">
        <v>238</v>
      </c>
      <c r="U17" s="10">
        <v>12.8</v>
      </c>
      <c r="V17" t="s">
        <v>239</v>
      </c>
      <c r="W17">
        <f>U17+273</f>
        <v>285.8</v>
      </c>
      <c r="AA17" s="7"/>
    </row>
    <row r="18" spans="6:27" x14ac:dyDescent="0.3">
      <c r="F18" t="s">
        <v>240</v>
      </c>
      <c r="G18">
        <v>273</v>
      </c>
      <c r="M18" s="5"/>
      <c r="T18" t="s">
        <v>240</v>
      </c>
      <c r="U18">
        <v>273</v>
      </c>
      <c r="AA18" s="7"/>
    </row>
    <row r="19" spans="6:27" x14ac:dyDescent="0.3">
      <c r="F19" t="s">
        <v>241</v>
      </c>
      <c r="G19">
        <v>3.1399999999999997E-2</v>
      </c>
      <c r="M19" s="5"/>
      <c r="T19" t="s">
        <v>241</v>
      </c>
      <c r="U19">
        <v>3.1399999999999997E-2</v>
      </c>
      <c r="AA19" s="7"/>
    </row>
    <row r="20" spans="6:27" x14ac:dyDescent="0.3">
      <c r="L20" s="14" t="s">
        <v>247</v>
      </c>
      <c r="M20" s="15" t="s">
        <v>248</v>
      </c>
      <c r="Z20" s="14" t="s">
        <v>249</v>
      </c>
      <c r="AA20" s="16" t="s">
        <v>248</v>
      </c>
    </row>
    <row r="21" spans="6:27" x14ac:dyDescent="0.3">
      <c r="F21" t="s">
        <v>242</v>
      </c>
      <c r="G21">
        <f>G18/I17</f>
        <v>0.95521343596920916</v>
      </c>
      <c r="L21">
        <f>I10-I3</f>
        <v>109.93</v>
      </c>
      <c r="M21" s="7">
        <f>AH10-AH3</f>
        <v>428</v>
      </c>
      <c r="T21" t="s">
        <v>242</v>
      </c>
      <c r="U21">
        <f>U18/W17</f>
        <v>0.95521343596920916</v>
      </c>
      <c r="Z21">
        <f>O10-O4</f>
        <v>3.0299999999999994E-2</v>
      </c>
      <c r="AA21" s="7">
        <f>AH10-AH4</f>
        <v>367</v>
      </c>
    </row>
    <row r="22" spans="6:27" x14ac:dyDescent="0.3">
      <c r="F22" t="s">
        <v>243</v>
      </c>
      <c r="G22">
        <f>1/G19</f>
        <v>31.847133757961785</v>
      </c>
      <c r="M22" s="11">
        <f>M21/60</f>
        <v>7.1333333333333337</v>
      </c>
      <c r="T22" t="s">
        <v>243</v>
      </c>
      <c r="U22">
        <f>1/U19</f>
        <v>31.847133757961785</v>
      </c>
      <c r="AA22" s="11"/>
    </row>
    <row r="23" spans="6:27" x14ac:dyDescent="0.3">
      <c r="F23" t="s">
        <v>244</v>
      </c>
      <c r="G23">
        <f>G16/G21</f>
        <v>2.3450256410256411E-2</v>
      </c>
      <c r="T23" t="s">
        <v>244</v>
      </c>
      <c r="U23">
        <f>U16/U21</f>
        <v>2.3450256410256411E-2</v>
      </c>
      <c r="AA23" s="7"/>
    </row>
    <row r="24" spans="6:27" x14ac:dyDescent="0.3">
      <c r="L24" s="6">
        <f>(L21/M21)*(G15/G16)/G19</f>
        <v>3.5311914691988475</v>
      </c>
      <c r="Z24" s="6">
        <f>(Z21/AA21)*(U15/U16)/U19</f>
        <v>1.1350771260967983E-3</v>
      </c>
      <c r="AA24" s="7"/>
    </row>
    <row r="25" spans="6:27" x14ac:dyDescent="0.3">
      <c r="F25" s="10">
        <f>(G14)*(G15/G23)*(G22)</f>
        <v>3.3730415363585902</v>
      </c>
      <c r="T25" s="10">
        <f>(U14)*(U15/U23)*(U22)</f>
        <v>1.0842409217089778E-3</v>
      </c>
      <c r="AA25" s="7"/>
    </row>
    <row r="27" spans="6:27" x14ac:dyDescent="0.3">
      <c r="Y27" s="12" t="s">
        <v>245</v>
      </c>
      <c r="Z27" s="12">
        <f>Z24*298</f>
        <v>0.33825298357684591</v>
      </c>
      <c r="AA27" s="7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AF270-B58C-47D5-9D50-5DCC6B59F532}">
  <dimension ref="A1:AH27"/>
  <sheetViews>
    <sheetView topLeftCell="E1" workbookViewId="0">
      <selection activeCell="P21" sqref="P21"/>
    </sheetView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</v>
      </c>
      <c r="K1" t="s">
        <v>7</v>
      </c>
      <c r="L1" t="s">
        <v>9</v>
      </c>
      <c r="M1" t="s">
        <v>6</v>
      </c>
      <c r="N1" t="s">
        <v>7</v>
      </c>
      <c r="O1" t="s">
        <v>10</v>
      </c>
      <c r="P1" t="s">
        <v>6</v>
      </c>
      <c r="Q1" t="s">
        <v>7</v>
      </c>
      <c r="R1" t="s">
        <v>11</v>
      </c>
      <c r="S1" t="s">
        <v>6</v>
      </c>
      <c r="T1" t="s">
        <v>7</v>
      </c>
      <c r="U1" t="s">
        <v>12</v>
      </c>
      <c r="V1" t="s">
        <v>6</v>
      </c>
      <c r="W1" t="s">
        <v>7</v>
      </c>
      <c r="X1" t="s">
        <v>13</v>
      </c>
      <c r="Y1" t="s">
        <v>6</v>
      </c>
      <c r="Z1" t="s">
        <v>7</v>
      </c>
      <c r="AA1" t="s">
        <v>14</v>
      </c>
      <c r="AB1" t="s">
        <v>6</v>
      </c>
      <c r="AC1" t="s">
        <v>7</v>
      </c>
      <c r="AD1" t="s">
        <v>15</v>
      </c>
      <c r="AE1" t="s">
        <v>6</v>
      </c>
      <c r="AF1" t="s">
        <v>7</v>
      </c>
      <c r="AG1" t="s">
        <v>16</v>
      </c>
      <c r="AH1" t="s">
        <v>246</v>
      </c>
    </row>
    <row r="2" spans="1:34" x14ac:dyDescent="0.3">
      <c r="A2">
        <v>0</v>
      </c>
      <c r="B2" s="1">
        <v>45777</v>
      </c>
      <c r="C2" s="2">
        <v>0.58719907407407412</v>
      </c>
      <c r="D2" t="s">
        <v>144</v>
      </c>
      <c r="E2" t="s">
        <v>18</v>
      </c>
      <c r="F2">
        <v>1.62</v>
      </c>
      <c r="G2" t="s">
        <v>19</v>
      </c>
      <c r="H2" t="s">
        <v>20</v>
      </c>
      <c r="I2">
        <v>486.85</v>
      </c>
      <c r="J2" t="s">
        <v>21</v>
      </c>
      <c r="K2" t="s">
        <v>20</v>
      </c>
      <c r="L2">
        <v>2.0179999999999998</v>
      </c>
      <c r="M2" t="s">
        <v>21</v>
      </c>
      <c r="N2" t="s">
        <v>20</v>
      </c>
      <c r="O2">
        <v>0.40860000000000002</v>
      </c>
      <c r="P2" t="s">
        <v>21</v>
      </c>
      <c r="Q2" t="s">
        <v>20</v>
      </c>
      <c r="R2">
        <v>4.8000000000000001E-2</v>
      </c>
      <c r="S2" t="s">
        <v>21</v>
      </c>
      <c r="T2" t="s">
        <v>20</v>
      </c>
      <c r="U2">
        <v>2.1280000000000001</v>
      </c>
      <c r="V2" t="s">
        <v>21</v>
      </c>
      <c r="W2" t="s">
        <v>20</v>
      </c>
      <c r="X2">
        <v>1019.7</v>
      </c>
      <c r="Y2" t="s">
        <v>22</v>
      </c>
      <c r="Z2" t="s">
        <v>23</v>
      </c>
      <c r="AA2">
        <v>46.54</v>
      </c>
      <c r="AB2" t="s">
        <v>24</v>
      </c>
      <c r="AC2" t="s">
        <v>23</v>
      </c>
      <c r="AD2">
        <v>56.93</v>
      </c>
      <c r="AE2" t="s">
        <v>24</v>
      </c>
      <c r="AF2" t="s">
        <v>23</v>
      </c>
      <c r="AG2" t="s">
        <v>25</v>
      </c>
      <c r="AH2" s="5">
        <f>HOUR(C2)*3600 + MINUTE(C2)*60 + SECOND(C2)</f>
        <v>50734</v>
      </c>
    </row>
    <row r="3" spans="1:34" x14ac:dyDescent="0.3">
      <c r="A3">
        <v>0</v>
      </c>
      <c r="B3" s="1">
        <v>45777</v>
      </c>
      <c r="C3" s="2">
        <v>0.5879050925925926</v>
      </c>
      <c r="D3" t="s">
        <v>145</v>
      </c>
      <c r="E3" t="s">
        <v>18</v>
      </c>
      <c r="F3">
        <v>1.61</v>
      </c>
      <c r="G3" t="s">
        <v>19</v>
      </c>
      <c r="H3" t="s">
        <v>20</v>
      </c>
      <c r="I3" s="14">
        <v>480.93</v>
      </c>
      <c r="J3" t="s">
        <v>21</v>
      </c>
      <c r="K3" t="s">
        <v>20</v>
      </c>
      <c r="L3">
        <v>2.085</v>
      </c>
      <c r="M3" t="s">
        <v>21</v>
      </c>
      <c r="N3" t="s">
        <v>20</v>
      </c>
      <c r="O3" s="14">
        <v>0.43769999999999998</v>
      </c>
      <c r="P3" t="s">
        <v>21</v>
      </c>
      <c r="Q3" t="s">
        <v>20</v>
      </c>
      <c r="R3">
        <v>0</v>
      </c>
      <c r="S3" t="s">
        <v>21</v>
      </c>
      <c r="T3" t="s">
        <v>20</v>
      </c>
      <c r="U3">
        <v>2.1360000000000001</v>
      </c>
      <c r="V3" t="s">
        <v>21</v>
      </c>
      <c r="W3" t="s">
        <v>20</v>
      </c>
      <c r="X3">
        <v>1019.8</v>
      </c>
      <c r="Y3" t="s">
        <v>22</v>
      </c>
      <c r="Z3" t="s">
        <v>23</v>
      </c>
      <c r="AA3">
        <v>46.72</v>
      </c>
      <c r="AB3" t="s">
        <v>24</v>
      </c>
      <c r="AC3" t="s">
        <v>23</v>
      </c>
      <c r="AD3">
        <v>57.1</v>
      </c>
      <c r="AE3" t="s">
        <v>24</v>
      </c>
      <c r="AF3" t="s">
        <v>23</v>
      </c>
      <c r="AG3" t="s">
        <v>25</v>
      </c>
      <c r="AH3" s="5">
        <f t="shared" ref="AH3:AH9" si="0">HOUR(C3)*3600 + MINUTE(C3)*60 + SECOND(C3)</f>
        <v>50795</v>
      </c>
    </row>
    <row r="4" spans="1:34" x14ac:dyDescent="0.3">
      <c r="A4">
        <v>0</v>
      </c>
      <c r="B4" s="1">
        <v>45777</v>
      </c>
      <c r="C4" s="2">
        <v>0.58861111111111108</v>
      </c>
      <c r="D4" t="s">
        <v>146</v>
      </c>
      <c r="E4" t="s">
        <v>18</v>
      </c>
      <c r="F4">
        <v>1.68</v>
      </c>
      <c r="G4" t="s">
        <v>19</v>
      </c>
      <c r="H4" t="s">
        <v>20</v>
      </c>
      <c r="I4" s="14">
        <v>502.71</v>
      </c>
      <c r="J4" t="s">
        <v>21</v>
      </c>
      <c r="K4" t="s">
        <v>20</v>
      </c>
      <c r="L4">
        <v>2.1360000000000001</v>
      </c>
      <c r="M4" t="s">
        <v>21</v>
      </c>
      <c r="N4" t="s">
        <v>20</v>
      </c>
      <c r="O4" s="14">
        <v>0.48249999999999998</v>
      </c>
      <c r="P4" t="s">
        <v>21</v>
      </c>
      <c r="Q4" t="s">
        <v>20</v>
      </c>
      <c r="R4">
        <v>1.6E-2</v>
      </c>
      <c r="S4" t="s">
        <v>21</v>
      </c>
      <c r="T4" t="s">
        <v>20</v>
      </c>
      <c r="U4">
        <v>2.1110000000000002</v>
      </c>
      <c r="V4" t="s">
        <v>21</v>
      </c>
      <c r="W4" t="s">
        <v>20</v>
      </c>
      <c r="X4">
        <v>1019.8</v>
      </c>
      <c r="Y4" t="s">
        <v>22</v>
      </c>
      <c r="Z4" t="s">
        <v>23</v>
      </c>
      <c r="AA4">
        <v>46.89</v>
      </c>
      <c r="AB4" t="s">
        <v>24</v>
      </c>
      <c r="AC4" t="s">
        <v>23</v>
      </c>
      <c r="AD4">
        <v>57.17</v>
      </c>
      <c r="AE4" t="s">
        <v>24</v>
      </c>
      <c r="AF4" t="s">
        <v>23</v>
      </c>
      <c r="AG4" t="s">
        <v>25</v>
      </c>
      <c r="AH4" s="5">
        <f t="shared" si="0"/>
        <v>50856</v>
      </c>
    </row>
    <row r="5" spans="1:34" x14ac:dyDescent="0.3">
      <c r="A5">
        <v>0</v>
      </c>
      <c r="B5" s="1">
        <v>45777</v>
      </c>
      <c r="C5" s="2">
        <v>0.58931712962962968</v>
      </c>
      <c r="D5" t="s">
        <v>147</v>
      </c>
      <c r="E5" t="s">
        <v>18</v>
      </c>
      <c r="F5">
        <v>1.75</v>
      </c>
      <c r="G5" t="s">
        <v>19</v>
      </c>
      <c r="H5" t="s">
        <v>20</v>
      </c>
      <c r="I5" s="14">
        <v>521.38</v>
      </c>
      <c r="J5" t="s">
        <v>21</v>
      </c>
      <c r="K5" t="s">
        <v>20</v>
      </c>
      <c r="L5">
        <v>2.109</v>
      </c>
      <c r="M5" t="s">
        <v>21</v>
      </c>
      <c r="N5" t="s">
        <v>20</v>
      </c>
      <c r="O5" s="14">
        <v>0.50449999999999995</v>
      </c>
      <c r="P5" t="s">
        <v>21</v>
      </c>
      <c r="Q5" t="s">
        <v>20</v>
      </c>
      <c r="R5">
        <v>0</v>
      </c>
      <c r="S5" t="s">
        <v>21</v>
      </c>
      <c r="T5" t="s">
        <v>20</v>
      </c>
      <c r="U5">
        <v>2.117</v>
      </c>
      <c r="V5" t="s">
        <v>21</v>
      </c>
      <c r="W5" t="s">
        <v>20</v>
      </c>
      <c r="X5">
        <v>1019.7</v>
      </c>
      <c r="Y5" t="s">
        <v>22</v>
      </c>
      <c r="Z5" t="s">
        <v>23</v>
      </c>
      <c r="AA5">
        <v>47</v>
      </c>
      <c r="AB5" t="s">
        <v>24</v>
      </c>
      <c r="AC5" t="s">
        <v>23</v>
      </c>
      <c r="AD5">
        <v>57.34</v>
      </c>
      <c r="AE5" t="s">
        <v>24</v>
      </c>
      <c r="AF5" t="s">
        <v>23</v>
      </c>
      <c r="AG5" t="s">
        <v>25</v>
      </c>
      <c r="AH5" s="5">
        <f t="shared" si="0"/>
        <v>50917</v>
      </c>
    </row>
    <row r="6" spans="1:34" x14ac:dyDescent="0.3">
      <c r="A6">
        <v>0</v>
      </c>
      <c r="B6" s="1">
        <v>45777</v>
      </c>
      <c r="C6" s="2">
        <v>0.59002314814814816</v>
      </c>
      <c r="D6" t="s">
        <v>148</v>
      </c>
      <c r="E6" t="s">
        <v>18</v>
      </c>
      <c r="F6">
        <v>1.81</v>
      </c>
      <c r="G6" t="s">
        <v>19</v>
      </c>
      <c r="H6" t="s">
        <v>20</v>
      </c>
      <c r="I6" s="14">
        <v>543.89</v>
      </c>
      <c r="J6" t="s">
        <v>21</v>
      </c>
      <c r="K6" t="s">
        <v>20</v>
      </c>
      <c r="L6">
        <v>2.1720000000000002</v>
      </c>
      <c r="M6" t="s">
        <v>21</v>
      </c>
      <c r="N6" t="s">
        <v>20</v>
      </c>
      <c r="O6" s="14">
        <v>0.54110000000000003</v>
      </c>
      <c r="P6" t="s">
        <v>21</v>
      </c>
      <c r="Q6" t="s">
        <v>20</v>
      </c>
      <c r="R6">
        <v>0</v>
      </c>
      <c r="S6" t="s">
        <v>21</v>
      </c>
      <c r="T6" t="s">
        <v>20</v>
      </c>
      <c r="U6">
        <v>2.109</v>
      </c>
      <c r="V6" t="s">
        <v>21</v>
      </c>
      <c r="W6" t="s">
        <v>20</v>
      </c>
      <c r="X6">
        <v>1019.7</v>
      </c>
      <c r="Y6" t="s">
        <v>22</v>
      </c>
      <c r="Z6" t="s">
        <v>23</v>
      </c>
      <c r="AA6">
        <v>47.17</v>
      </c>
      <c r="AB6" t="s">
        <v>24</v>
      </c>
      <c r="AC6" t="s">
        <v>23</v>
      </c>
      <c r="AD6">
        <v>57.46</v>
      </c>
      <c r="AE6" t="s">
        <v>24</v>
      </c>
      <c r="AF6" t="s">
        <v>23</v>
      </c>
      <c r="AG6" t="s">
        <v>25</v>
      </c>
      <c r="AH6" s="5">
        <f t="shared" si="0"/>
        <v>50978</v>
      </c>
    </row>
    <row r="7" spans="1:34" x14ac:dyDescent="0.3">
      <c r="A7">
        <v>0</v>
      </c>
      <c r="B7" s="1">
        <v>45777</v>
      </c>
      <c r="C7" s="2">
        <v>0.59074074074074079</v>
      </c>
      <c r="D7" t="s">
        <v>149</v>
      </c>
      <c r="E7" t="s">
        <v>18</v>
      </c>
      <c r="F7">
        <v>1.86</v>
      </c>
      <c r="G7" t="s">
        <v>19</v>
      </c>
      <c r="H7" t="s">
        <v>20</v>
      </c>
      <c r="I7" s="14">
        <v>561.39</v>
      </c>
      <c r="J7" t="s">
        <v>21</v>
      </c>
      <c r="K7" t="s">
        <v>20</v>
      </c>
      <c r="L7">
        <v>2.2000000000000002</v>
      </c>
      <c r="M7" t="s">
        <v>21</v>
      </c>
      <c r="N7" t="s">
        <v>20</v>
      </c>
      <c r="O7" s="14">
        <v>0.56789999999999996</v>
      </c>
      <c r="P7" t="s">
        <v>21</v>
      </c>
      <c r="Q7" t="s">
        <v>20</v>
      </c>
      <c r="R7">
        <v>0</v>
      </c>
      <c r="S7" t="s">
        <v>21</v>
      </c>
      <c r="T7" t="s">
        <v>20</v>
      </c>
      <c r="U7">
        <v>2.1150000000000002</v>
      </c>
      <c r="V7" t="s">
        <v>21</v>
      </c>
      <c r="W7" t="s">
        <v>20</v>
      </c>
      <c r="X7">
        <v>1019.8</v>
      </c>
      <c r="Y7" t="s">
        <v>22</v>
      </c>
      <c r="Z7" t="s">
        <v>23</v>
      </c>
      <c r="AA7">
        <v>47.4</v>
      </c>
      <c r="AB7" t="s">
        <v>24</v>
      </c>
      <c r="AC7" t="s">
        <v>23</v>
      </c>
      <c r="AD7">
        <v>57.55</v>
      </c>
      <c r="AE7" t="s">
        <v>24</v>
      </c>
      <c r="AF7" t="s">
        <v>23</v>
      </c>
      <c r="AG7" t="s">
        <v>25</v>
      </c>
      <c r="AH7" s="5">
        <f t="shared" si="0"/>
        <v>51040</v>
      </c>
    </row>
    <row r="8" spans="1:34" x14ac:dyDescent="0.3">
      <c r="A8">
        <v>0</v>
      </c>
      <c r="B8" s="1">
        <v>45777</v>
      </c>
      <c r="C8" s="2">
        <v>0.59144675925925927</v>
      </c>
      <c r="D8" t="s">
        <v>150</v>
      </c>
      <c r="E8" t="s">
        <v>18</v>
      </c>
      <c r="F8">
        <v>1.92</v>
      </c>
      <c r="G8" t="s">
        <v>19</v>
      </c>
      <c r="H8" t="s">
        <v>20</v>
      </c>
      <c r="I8" s="14">
        <v>578.48</v>
      </c>
      <c r="J8" t="s">
        <v>21</v>
      </c>
      <c r="K8" t="s">
        <v>20</v>
      </c>
      <c r="L8">
        <v>2.1269999999999998</v>
      </c>
      <c r="M8" t="s">
        <v>21</v>
      </c>
      <c r="N8" t="s">
        <v>20</v>
      </c>
      <c r="O8" s="14">
        <v>0.59209999999999996</v>
      </c>
      <c r="P8" t="s">
        <v>21</v>
      </c>
      <c r="Q8" t="s">
        <v>20</v>
      </c>
      <c r="R8">
        <v>2E-3</v>
      </c>
      <c r="S8" t="s">
        <v>21</v>
      </c>
      <c r="T8" t="s">
        <v>20</v>
      </c>
      <c r="U8">
        <v>2.1019999999999999</v>
      </c>
      <c r="V8" t="s">
        <v>21</v>
      </c>
      <c r="W8" t="s">
        <v>20</v>
      </c>
      <c r="X8">
        <v>1019.7</v>
      </c>
      <c r="Y8" t="s">
        <v>22</v>
      </c>
      <c r="Z8" t="s">
        <v>23</v>
      </c>
      <c r="AA8">
        <v>47.82</v>
      </c>
      <c r="AB8" t="s">
        <v>24</v>
      </c>
      <c r="AC8" t="s">
        <v>23</v>
      </c>
      <c r="AD8">
        <v>57.74</v>
      </c>
      <c r="AE8" t="s">
        <v>24</v>
      </c>
      <c r="AF8" t="s">
        <v>23</v>
      </c>
      <c r="AG8" t="s">
        <v>25</v>
      </c>
      <c r="AH8" s="5">
        <f t="shared" si="0"/>
        <v>51101</v>
      </c>
    </row>
    <row r="9" spans="1:34" x14ac:dyDescent="0.3">
      <c r="A9">
        <v>0</v>
      </c>
      <c r="B9" s="1">
        <v>45777</v>
      </c>
      <c r="C9" s="2">
        <v>0.59215277777777775</v>
      </c>
      <c r="D9" t="s">
        <v>151</v>
      </c>
      <c r="E9" t="s">
        <v>18</v>
      </c>
      <c r="F9">
        <v>1.96</v>
      </c>
      <c r="G9" t="s">
        <v>19</v>
      </c>
      <c r="H9" t="s">
        <v>20</v>
      </c>
      <c r="I9" s="14">
        <v>597.32000000000005</v>
      </c>
      <c r="J9" t="s">
        <v>21</v>
      </c>
      <c r="K9" t="s">
        <v>20</v>
      </c>
      <c r="L9">
        <v>2.1819999999999999</v>
      </c>
      <c r="M9" t="s">
        <v>21</v>
      </c>
      <c r="N9" t="s">
        <v>20</v>
      </c>
      <c r="O9" s="14">
        <v>0.62150000000000005</v>
      </c>
      <c r="P9" t="s">
        <v>21</v>
      </c>
      <c r="Q9" t="s">
        <v>20</v>
      </c>
      <c r="R9">
        <v>4.0000000000000001E-3</v>
      </c>
      <c r="S9" t="s">
        <v>21</v>
      </c>
      <c r="T9" t="s">
        <v>20</v>
      </c>
      <c r="U9">
        <v>2.1040000000000001</v>
      </c>
      <c r="V9" t="s">
        <v>21</v>
      </c>
      <c r="W9" t="s">
        <v>20</v>
      </c>
      <c r="X9">
        <v>1019.8</v>
      </c>
      <c r="Y9" t="s">
        <v>22</v>
      </c>
      <c r="Z9" t="s">
        <v>23</v>
      </c>
      <c r="AA9">
        <v>48.01</v>
      </c>
      <c r="AB9" t="s">
        <v>24</v>
      </c>
      <c r="AC9" t="s">
        <v>23</v>
      </c>
      <c r="AD9">
        <v>57.93</v>
      </c>
      <c r="AE9" t="s">
        <v>24</v>
      </c>
      <c r="AF9" t="s">
        <v>23</v>
      </c>
      <c r="AG9" t="s">
        <v>25</v>
      </c>
      <c r="AH9" s="5">
        <f t="shared" si="0"/>
        <v>51162</v>
      </c>
    </row>
    <row r="13" spans="1:34" ht="23.4" x14ac:dyDescent="0.45">
      <c r="A13" s="3" t="s">
        <v>231</v>
      </c>
      <c r="O13" s="4" t="s">
        <v>232</v>
      </c>
    </row>
    <row r="14" spans="1:34" x14ac:dyDescent="0.3">
      <c r="B14" t="s">
        <v>233</v>
      </c>
      <c r="C14">
        <f>L21</f>
        <v>116.39000000000004</v>
      </c>
      <c r="F14" t="s">
        <v>234</v>
      </c>
      <c r="G14" s="5">
        <f>C16</f>
        <v>0.31713896457765678</v>
      </c>
      <c r="M14" s="5"/>
      <c r="P14" t="s">
        <v>233</v>
      </c>
      <c r="Q14">
        <f>Z21</f>
        <v>0.18380000000000007</v>
      </c>
      <c r="T14" t="s">
        <v>234</v>
      </c>
      <c r="U14" s="5">
        <f>Q16</f>
        <v>5.0081743869209825E-4</v>
      </c>
      <c r="AA14" s="7"/>
    </row>
    <row r="15" spans="1:34" x14ac:dyDescent="0.3">
      <c r="B15" t="s">
        <v>2</v>
      </c>
      <c r="C15" s="5">
        <f>M21</f>
        <v>367</v>
      </c>
      <c r="F15" t="s">
        <v>235</v>
      </c>
      <c r="G15" s="8">
        <v>9.6699999999999998E-3</v>
      </c>
      <c r="M15" s="5"/>
      <c r="P15" t="s">
        <v>2</v>
      </c>
      <c r="Q15" s="5">
        <f>AA21</f>
        <v>367</v>
      </c>
      <c r="T15" t="s">
        <v>235</v>
      </c>
      <c r="U15" s="8">
        <v>9.6699999999999998E-3</v>
      </c>
      <c r="AA15" s="7"/>
    </row>
    <row r="16" spans="1:34" x14ac:dyDescent="0.3">
      <c r="B16" t="s">
        <v>236</v>
      </c>
      <c r="C16" s="5">
        <f>C14/C15</f>
        <v>0.31713896457765678</v>
      </c>
      <c r="F16" t="s">
        <v>237</v>
      </c>
      <c r="G16">
        <f>22.4*10^-3</f>
        <v>2.24E-2</v>
      </c>
      <c r="M16" s="5"/>
      <c r="P16" t="s">
        <v>236</v>
      </c>
      <c r="Q16" s="9">
        <f>Q14/Q15</f>
        <v>5.0081743869209825E-4</v>
      </c>
      <c r="T16" t="s">
        <v>237</v>
      </c>
      <c r="U16">
        <f>22.4*10^-3</f>
        <v>2.24E-2</v>
      </c>
      <c r="AA16" s="7"/>
    </row>
    <row r="17" spans="6:27" x14ac:dyDescent="0.3">
      <c r="F17" s="10" t="s">
        <v>238</v>
      </c>
      <c r="G17" s="10">
        <v>12.8</v>
      </c>
      <c r="H17" t="s">
        <v>239</v>
      </c>
      <c r="I17">
        <f>G17+273</f>
        <v>285.8</v>
      </c>
      <c r="M17" s="5"/>
      <c r="T17" s="10" t="s">
        <v>238</v>
      </c>
      <c r="U17" s="10">
        <v>12.8</v>
      </c>
      <c r="V17" t="s">
        <v>239</v>
      </c>
      <c r="W17">
        <f>U17+273</f>
        <v>285.8</v>
      </c>
      <c r="AA17" s="7"/>
    </row>
    <row r="18" spans="6:27" x14ac:dyDescent="0.3">
      <c r="F18" t="s">
        <v>240</v>
      </c>
      <c r="G18">
        <v>273</v>
      </c>
      <c r="M18" s="5"/>
      <c r="T18" t="s">
        <v>240</v>
      </c>
      <c r="U18">
        <v>273</v>
      </c>
      <c r="AA18" s="7"/>
    </row>
    <row r="19" spans="6:27" x14ac:dyDescent="0.3">
      <c r="F19" t="s">
        <v>241</v>
      </c>
      <c r="G19">
        <v>3.1399999999999997E-2</v>
      </c>
      <c r="M19" s="5"/>
      <c r="T19" t="s">
        <v>241</v>
      </c>
      <c r="U19">
        <v>3.1399999999999997E-2</v>
      </c>
      <c r="AA19" s="7"/>
    </row>
    <row r="20" spans="6:27" x14ac:dyDescent="0.3">
      <c r="L20" s="14" t="s">
        <v>247</v>
      </c>
      <c r="M20" s="15" t="s">
        <v>248</v>
      </c>
      <c r="Z20" s="14" t="s">
        <v>249</v>
      </c>
      <c r="AA20" s="16" t="s">
        <v>248</v>
      </c>
    </row>
    <row r="21" spans="6:27" x14ac:dyDescent="0.3">
      <c r="F21" t="s">
        <v>242</v>
      </c>
      <c r="G21">
        <f>G18/I17</f>
        <v>0.95521343596920916</v>
      </c>
      <c r="L21">
        <f>I9-I3</f>
        <v>116.39000000000004</v>
      </c>
      <c r="M21" s="7">
        <f>AH9-AH3</f>
        <v>367</v>
      </c>
      <c r="T21" t="s">
        <v>242</v>
      </c>
      <c r="U21">
        <f>U18/W17</f>
        <v>0.95521343596920916</v>
      </c>
      <c r="Z21">
        <f>O9-O3</f>
        <v>0.18380000000000007</v>
      </c>
      <c r="AA21" s="7">
        <f>AH9-AH3</f>
        <v>367</v>
      </c>
    </row>
    <row r="22" spans="6:27" x14ac:dyDescent="0.3">
      <c r="F22" t="s">
        <v>243</v>
      </c>
      <c r="G22">
        <f>1/G19</f>
        <v>31.847133757961785</v>
      </c>
      <c r="M22" s="11">
        <f>M21/60</f>
        <v>6.1166666666666663</v>
      </c>
      <c r="T22" t="s">
        <v>243</v>
      </c>
      <c r="U22">
        <f>1/U19</f>
        <v>31.847133757961785</v>
      </c>
      <c r="AA22" s="11"/>
    </row>
    <row r="23" spans="6:27" x14ac:dyDescent="0.3">
      <c r="F23" t="s">
        <v>244</v>
      </c>
      <c r="G23">
        <f>G16/G21</f>
        <v>2.3450256410256411E-2</v>
      </c>
      <c r="T23" t="s">
        <v>244</v>
      </c>
      <c r="U23">
        <f>U16/U21</f>
        <v>2.3450256410256411E-2</v>
      </c>
      <c r="AA23" s="7"/>
    </row>
    <row r="24" spans="6:27" x14ac:dyDescent="0.3">
      <c r="L24" s="6">
        <f>(L21/M21)*(G15/G16)/G19</f>
        <v>4.3601196932807404</v>
      </c>
      <c r="Z24" s="6">
        <f>(Z21/AA21)*(U15/U16)/U19</f>
        <v>6.8853853391614402E-3</v>
      </c>
      <c r="AA24" s="7"/>
    </row>
    <row r="25" spans="6:27" x14ac:dyDescent="0.3">
      <c r="F25" s="10">
        <f>(G14)*(G15/G23)*(G22)</f>
        <v>4.1648449134557097</v>
      </c>
      <c r="T25" s="10">
        <f>(U14)*(U15/U23)*(U22)</f>
        <v>6.5770125877924173E-3</v>
      </c>
      <c r="AA25" s="7"/>
    </row>
    <row r="27" spans="6:27" x14ac:dyDescent="0.3">
      <c r="Y27" s="12" t="s">
        <v>245</v>
      </c>
      <c r="Z27" s="12">
        <f>Z24*298</f>
        <v>2.0518448310701092</v>
      </c>
      <c r="AA27" s="7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A9C8D-BBE5-488F-BDB1-C9106A8156E3}">
  <dimension ref="A1:AH27"/>
  <sheetViews>
    <sheetView topLeftCell="H19" workbookViewId="0">
      <selection activeCell="Z27" sqref="Z27"/>
    </sheetView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</v>
      </c>
      <c r="K1" t="s">
        <v>7</v>
      </c>
      <c r="L1" t="s">
        <v>9</v>
      </c>
      <c r="M1" t="s">
        <v>6</v>
      </c>
      <c r="N1" t="s">
        <v>7</v>
      </c>
      <c r="O1" t="s">
        <v>10</v>
      </c>
      <c r="P1" t="s">
        <v>6</v>
      </c>
      <c r="Q1" t="s">
        <v>7</v>
      </c>
      <c r="R1" t="s">
        <v>11</v>
      </c>
      <c r="S1" t="s">
        <v>6</v>
      </c>
      <c r="T1" t="s">
        <v>7</v>
      </c>
      <c r="U1" t="s">
        <v>12</v>
      </c>
      <c r="V1" t="s">
        <v>6</v>
      </c>
      <c r="W1" t="s">
        <v>7</v>
      </c>
      <c r="X1" t="s">
        <v>13</v>
      </c>
      <c r="Y1" t="s">
        <v>6</v>
      </c>
      <c r="Z1" t="s">
        <v>7</v>
      </c>
      <c r="AA1" t="s">
        <v>14</v>
      </c>
      <c r="AB1" t="s">
        <v>6</v>
      </c>
      <c r="AC1" t="s">
        <v>7</v>
      </c>
      <c r="AD1" t="s">
        <v>15</v>
      </c>
      <c r="AE1" t="s">
        <v>6</v>
      </c>
      <c r="AF1" t="s">
        <v>7</v>
      </c>
      <c r="AG1" t="s">
        <v>16</v>
      </c>
      <c r="AH1" t="s">
        <v>246</v>
      </c>
    </row>
    <row r="2" spans="1:34" x14ac:dyDescent="0.3">
      <c r="A2">
        <v>0</v>
      </c>
      <c r="B2" s="1">
        <v>45777</v>
      </c>
      <c r="C2" s="2">
        <v>0.59467592592592589</v>
      </c>
      <c r="D2" t="s">
        <v>152</v>
      </c>
      <c r="E2" t="s">
        <v>18</v>
      </c>
      <c r="F2">
        <v>1.67</v>
      </c>
      <c r="G2" t="s">
        <v>19</v>
      </c>
      <c r="H2" t="s">
        <v>20</v>
      </c>
      <c r="I2">
        <v>493.48</v>
      </c>
      <c r="J2" t="s">
        <v>21</v>
      </c>
      <c r="K2" t="s">
        <v>20</v>
      </c>
      <c r="L2">
        <v>2.3079999999999998</v>
      </c>
      <c r="M2" t="s">
        <v>21</v>
      </c>
      <c r="N2" t="s">
        <v>20</v>
      </c>
      <c r="O2">
        <v>0.46039999999999998</v>
      </c>
      <c r="P2" t="s">
        <v>21</v>
      </c>
      <c r="Q2" t="s">
        <v>20</v>
      </c>
      <c r="R2">
        <v>1.7999999999999999E-2</v>
      </c>
      <c r="S2" t="s">
        <v>21</v>
      </c>
      <c r="T2" t="s">
        <v>20</v>
      </c>
      <c r="U2">
        <v>2.161</v>
      </c>
      <c r="V2" t="s">
        <v>21</v>
      </c>
      <c r="W2" t="s">
        <v>20</v>
      </c>
      <c r="X2">
        <v>1019.7</v>
      </c>
      <c r="Y2" t="s">
        <v>22</v>
      </c>
      <c r="Z2" t="s">
        <v>23</v>
      </c>
      <c r="AA2">
        <v>48.28</v>
      </c>
      <c r="AB2" t="s">
        <v>24</v>
      </c>
      <c r="AC2" t="s">
        <v>23</v>
      </c>
      <c r="AD2">
        <v>58.15</v>
      </c>
      <c r="AE2" t="s">
        <v>24</v>
      </c>
      <c r="AF2" t="s">
        <v>23</v>
      </c>
      <c r="AG2" t="s">
        <v>25</v>
      </c>
      <c r="AH2" s="5">
        <f>HOUR(C2)*3600 + MINUTE(C2)*60 + SECOND(C2)</f>
        <v>51380</v>
      </c>
    </row>
    <row r="3" spans="1:34" x14ac:dyDescent="0.3">
      <c r="A3">
        <v>0</v>
      </c>
      <c r="B3" s="1">
        <v>45777</v>
      </c>
      <c r="C3" s="2">
        <v>0.59539351851851852</v>
      </c>
      <c r="D3" t="s">
        <v>153</v>
      </c>
      <c r="E3" t="s">
        <v>18</v>
      </c>
      <c r="F3">
        <v>1.66</v>
      </c>
      <c r="G3" t="s">
        <v>19</v>
      </c>
      <c r="H3" t="s">
        <v>20</v>
      </c>
      <c r="I3" s="14">
        <v>484.8</v>
      </c>
      <c r="J3" t="s">
        <v>21</v>
      </c>
      <c r="K3" t="s">
        <v>20</v>
      </c>
      <c r="L3">
        <v>2.2850000000000001</v>
      </c>
      <c r="M3" t="s">
        <v>21</v>
      </c>
      <c r="N3" t="s">
        <v>20</v>
      </c>
      <c r="O3" s="14">
        <v>0.4279</v>
      </c>
      <c r="P3" t="s">
        <v>21</v>
      </c>
      <c r="Q3" t="s">
        <v>20</v>
      </c>
      <c r="R3">
        <v>2.9000000000000001E-2</v>
      </c>
      <c r="S3" t="s">
        <v>21</v>
      </c>
      <c r="T3" t="s">
        <v>20</v>
      </c>
      <c r="U3">
        <v>2.1429999999999998</v>
      </c>
      <c r="V3" t="s">
        <v>21</v>
      </c>
      <c r="W3" t="s">
        <v>20</v>
      </c>
      <c r="X3">
        <v>1019.6</v>
      </c>
      <c r="Y3" t="s">
        <v>22</v>
      </c>
      <c r="Z3" t="s">
        <v>23</v>
      </c>
      <c r="AA3">
        <v>48.31</v>
      </c>
      <c r="AB3" t="s">
        <v>24</v>
      </c>
      <c r="AC3" t="s">
        <v>23</v>
      </c>
      <c r="AD3">
        <v>58.07</v>
      </c>
      <c r="AE3" t="s">
        <v>24</v>
      </c>
      <c r="AF3" t="s">
        <v>23</v>
      </c>
      <c r="AG3" t="s">
        <v>25</v>
      </c>
      <c r="AH3" s="5">
        <f t="shared" ref="AH3:AH10" si="0">HOUR(C3)*3600 + MINUTE(C3)*60 + SECOND(C3)</f>
        <v>51442</v>
      </c>
    </row>
    <row r="4" spans="1:34" x14ac:dyDescent="0.3">
      <c r="A4">
        <v>0</v>
      </c>
      <c r="B4" s="1">
        <v>45777</v>
      </c>
      <c r="C4" s="2">
        <v>0.596099537037037</v>
      </c>
      <c r="D4" t="s">
        <v>154</v>
      </c>
      <c r="E4" t="s">
        <v>18</v>
      </c>
      <c r="F4">
        <v>1.73</v>
      </c>
      <c r="G4" t="s">
        <v>19</v>
      </c>
      <c r="H4" t="s">
        <v>20</v>
      </c>
      <c r="I4" s="14">
        <v>507.17</v>
      </c>
      <c r="J4" t="s">
        <v>21</v>
      </c>
      <c r="K4" t="s">
        <v>20</v>
      </c>
      <c r="L4">
        <v>2.3279999999999998</v>
      </c>
      <c r="M4" t="s">
        <v>21</v>
      </c>
      <c r="N4" t="s">
        <v>20</v>
      </c>
      <c r="O4" s="14">
        <v>0.43559999999999999</v>
      </c>
      <c r="P4" t="s">
        <v>21</v>
      </c>
      <c r="Q4" t="s">
        <v>20</v>
      </c>
      <c r="R4">
        <v>0</v>
      </c>
      <c r="S4" t="s">
        <v>21</v>
      </c>
      <c r="T4" t="s">
        <v>20</v>
      </c>
      <c r="U4">
        <v>2.1280000000000001</v>
      </c>
      <c r="V4" t="s">
        <v>21</v>
      </c>
      <c r="W4" t="s">
        <v>20</v>
      </c>
      <c r="X4">
        <v>1019.7</v>
      </c>
      <c r="Y4" t="s">
        <v>22</v>
      </c>
      <c r="Z4" t="s">
        <v>23</v>
      </c>
      <c r="AA4">
        <v>48.29</v>
      </c>
      <c r="AB4" t="s">
        <v>24</v>
      </c>
      <c r="AC4" t="s">
        <v>23</v>
      </c>
      <c r="AD4">
        <v>58.02</v>
      </c>
      <c r="AE4" t="s">
        <v>24</v>
      </c>
      <c r="AF4" t="s">
        <v>23</v>
      </c>
      <c r="AG4" t="s">
        <v>25</v>
      </c>
      <c r="AH4" s="5">
        <f t="shared" si="0"/>
        <v>51503</v>
      </c>
    </row>
    <row r="5" spans="1:34" x14ac:dyDescent="0.3">
      <c r="A5">
        <v>0</v>
      </c>
      <c r="B5" s="1">
        <v>45777</v>
      </c>
      <c r="C5" s="2">
        <v>0.59680555555555559</v>
      </c>
      <c r="D5" t="s">
        <v>155</v>
      </c>
      <c r="E5" t="s">
        <v>18</v>
      </c>
      <c r="F5">
        <v>1.79</v>
      </c>
      <c r="G5" t="s">
        <v>19</v>
      </c>
      <c r="H5" t="s">
        <v>20</v>
      </c>
      <c r="I5" s="14">
        <v>528.12</v>
      </c>
      <c r="J5" t="s">
        <v>21</v>
      </c>
      <c r="K5" t="s">
        <v>20</v>
      </c>
      <c r="L5">
        <v>2.3719999999999999</v>
      </c>
      <c r="M5" t="s">
        <v>21</v>
      </c>
      <c r="N5" t="s">
        <v>20</v>
      </c>
      <c r="O5" s="14">
        <v>0.45200000000000001</v>
      </c>
      <c r="P5" t="s">
        <v>21</v>
      </c>
      <c r="Q5" t="s">
        <v>20</v>
      </c>
      <c r="R5">
        <v>2.1000000000000001E-2</v>
      </c>
      <c r="S5" t="s">
        <v>21</v>
      </c>
      <c r="T5" t="s">
        <v>20</v>
      </c>
      <c r="U5">
        <v>2.1259999999999999</v>
      </c>
      <c r="V5" t="s">
        <v>21</v>
      </c>
      <c r="W5" t="s">
        <v>20</v>
      </c>
      <c r="X5">
        <v>1019.7</v>
      </c>
      <c r="Y5" t="s">
        <v>22</v>
      </c>
      <c r="Z5" t="s">
        <v>23</v>
      </c>
      <c r="AA5">
        <v>48.42</v>
      </c>
      <c r="AB5" t="s">
        <v>24</v>
      </c>
      <c r="AC5" t="s">
        <v>23</v>
      </c>
      <c r="AD5">
        <v>58.04</v>
      </c>
      <c r="AE5" t="s">
        <v>24</v>
      </c>
      <c r="AF5" t="s">
        <v>23</v>
      </c>
      <c r="AG5" t="s">
        <v>25</v>
      </c>
      <c r="AH5" s="5">
        <f t="shared" si="0"/>
        <v>51564</v>
      </c>
    </row>
    <row r="6" spans="1:34" x14ac:dyDescent="0.3">
      <c r="A6">
        <v>0</v>
      </c>
      <c r="B6" s="1">
        <v>45777</v>
      </c>
      <c r="C6" s="2">
        <v>0.59751157407407407</v>
      </c>
      <c r="D6" t="s">
        <v>156</v>
      </c>
      <c r="E6" t="s">
        <v>18</v>
      </c>
      <c r="F6">
        <v>1.84</v>
      </c>
      <c r="G6" t="s">
        <v>19</v>
      </c>
      <c r="H6" t="s">
        <v>20</v>
      </c>
      <c r="I6" s="14">
        <v>549.54</v>
      </c>
      <c r="J6" t="s">
        <v>21</v>
      </c>
      <c r="K6" t="s">
        <v>20</v>
      </c>
      <c r="L6">
        <v>2.3940000000000001</v>
      </c>
      <c r="M6" t="s">
        <v>21</v>
      </c>
      <c r="N6" t="s">
        <v>20</v>
      </c>
      <c r="O6" s="14">
        <v>0.45760000000000001</v>
      </c>
      <c r="P6" t="s">
        <v>21</v>
      </c>
      <c r="Q6" t="s">
        <v>20</v>
      </c>
      <c r="R6">
        <v>8.0000000000000002E-3</v>
      </c>
      <c r="S6" t="s">
        <v>21</v>
      </c>
      <c r="T6" t="s">
        <v>20</v>
      </c>
      <c r="U6">
        <v>2.1269999999999998</v>
      </c>
      <c r="V6" t="s">
        <v>21</v>
      </c>
      <c r="W6" t="s">
        <v>20</v>
      </c>
      <c r="X6">
        <v>1019.6</v>
      </c>
      <c r="Y6" t="s">
        <v>22</v>
      </c>
      <c r="Z6" t="s">
        <v>23</v>
      </c>
      <c r="AA6">
        <v>48.68</v>
      </c>
      <c r="AB6" t="s">
        <v>24</v>
      </c>
      <c r="AC6" t="s">
        <v>23</v>
      </c>
      <c r="AD6">
        <v>58.14</v>
      </c>
      <c r="AE6" t="s">
        <v>24</v>
      </c>
      <c r="AF6" t="s">
        <v>23</v>
      </c>
      <c r="AG6" t="s">
        <v>25</v>
      </c>
      <c r="AH6" s="5">
        <f t="shared" si="0"/>
        <v>51625</v>
      </c>
    </row>
    <row r="7" spans="1:34" x14ac:dyDescent="0.3">
      <c r="A7">
        <v>0</v>
      </c>
      <c r="B7" s="1">
        <v>45777</v>
      </c>
      <c r="C7" s="2">
        <v>0.59821759259259255</v>
      </c>
      <c r="D7" t="s">
        <v>157</v>
      </c>
      <c r="E7" t="s">
        <v>18</v>
      </c>
      <c r="F7">
        <v>1.88</v>
      </c>
      <c r="G7" t="s">
        <v>19</v>
      </c>
      <c r="H7" t="s">
        <v>20</v>
      </c>
      <c r="I7" s="14">
        <v>567.86</v>
      </c>
      <c r="J7" t="s">
        <v>21</v>
      </c>
      <c r="K7" t="s">
        <v>20</v>
      </c>
      <c r="L7">
        <v>2.383</v>
      </c>
      <c r="M7" t="s">
        <v>21</v>
      </c>
      <c r="N7" t="s">
        <v>20</v>
      </c>
      <c r="O7" s="14">
        <v>0.47210000000000002</v>
      </c>
      <c r="P7" t="s">
        <v>21</v>
      </c>
      <c r="Q7" t="s">
        <v>20</v>
      </c>
      <c r="R7">
        <v>1.4999999999999999E-2</v>
      </c>
      <c r="S7" t="s">
        <v>21</v>
      </c>
      <c r="T7" t="s">
        <v>20</v>
      </c>
      <c r="U7">
        <v>2.137</v>
      </c>
      <c r="V7" t="s">
        <v>21</v>
      </c>
      <c r="W7" t="s">
        <v>20</v>
      </c>
      <c r="X7">
        <v>1019.7</v>
      </c>
      <c r="Y7" t="s">
        <v>22</v>
      </c>
      <c r="Z7" t="s">
        <v>23</v>
      </c>
      <c r="AA7">
        <v>48.65</v>
      </c>
      <c r="AB7" t="s">
        <v>24</v>
      </c>
      <c r="AC7" t="s">
        <v>23</v>
      </c>
      <c r="AD7">
        <v>58.12</v>
      </c>
      <c r="AE7" t="s">
        <v>24</v>
      </c>
      <c r="AF7" t="s">
        <v>23</v>
      </c>
      <c r="AG7" t="s">
        <v>25</v>
      </c>
      <c r="AH7" s="5">
        <f t="shared" si="0"/>
        <v>51686</v>
      </c>
    </row>
    <row r="8" spans="1:34" x14ac:dyDescent="0.3">
      <c r="A8">
        <v>0</v>
      </c>
      <c r="B8" s="1">
        <v>45777</v>
      </c>
      <c r="C8" s="2">
        <v>0.59892361111111114</v>
      </c>
      <c r="D8" t="s">
        <v>158</v>
      </c>
      <c r="E8" t="s">
        <v>18</v>
      </c>
      <c r="F8">
        <v>1.92</v>
      </c>
      <c r="G8" t="s">
        <v>19</v>
      </c>
      <c r="H8" t="s">
        <v>20</v>
      </c>
      <c r="I8" s="14">
        <v>589.07000000000005</v>
      </c>
      <c r="J8" t="s">
        <v>21</v>
      </c>
      <c r="K8" t="s">
        <v>20</v>
      </c>
      <c r="L8">
        <v>2.4409999999999998</v>
      </c>
      <c r="M8" t="s">
        <v>21</v>
      </c>
      <c r="N8" t="s">
        <v>20</v>
      </c>
      <c r="O8" s="14">
        <v>0.48349999999999999</v>
      </c>
      <c r="P8" t="s">
        <v>21</v>
      </c>
      <c r="Q8" t="s">
        <v>20</v>
      </c>
      <c r="R8">
        <v>0.01</v>
      </c>
      <c r="S8" t="s">
        <v>21</v>
      </c>
      <c r="T8" t="s">
        <v>20</v>
      </c>
      <c r="U8">
        <v>2.1139999999999999</v>
      </c>
      <c r="V8" t="s">
        <v>21</v>
      </c>
      <c r="W8" t="s">
        <v>20</v>
      </c>
      <c r="X8">
        <v>1019.7</v>
      </c>
      <c r="Y8" t="s">
        <v>22</v>
      </c>
      <c r="Z8" t="s">
        <v>23</v>
      </c>
      <c r="AA8">
        <v>48.62</v>
      </c>
      <c r="AB8" t="s">
        <v>24</v>
      </c>
      <c r="AC8" t="s">
        <v>23</v>
      </c>
      <c r="AD8">
        <v>58.13</v>
      </c>
      <c r="AE8" t="s">
        <v>24</v>
      </c>
      <c r="AF8" t="s">
        <v>23</v>
      </c>
      <c r="AG8" t="s">
        <v>25</v>
      </c>
      <c r="AH8" s="5">
        <f t="shared" si="0"/>
        <v>51747</v>
      </c>
    </row>
    <row r="9" spans="1:34" x14ac:dyDescent="0.3">
      <c r="A9">
        <v>0</v>
      </c>
      <c r="B9" s="1">
        <v>45777</v>
      </c>
      <c r="C9" s="2">
        <v>0.59962962962962962</v>
      </c>
      <c r="D9" t="s">
        <v>159</v>
      </c>
      <c r="E9" t="s">
        <v>18</v>
      </c>
      <c r="F9">
        <v>1.95</v>
      </c>
      <c r="G9" t="s">
        <v>19</v>
      </c>
      <c r="H9" t="s">
        <v>20</v>
      </c>
      <c r="I9" s="14">
        <v>604.33000000000004</v>
      </c>
      <c r="J9" t="s">
        <v>21</v>
      </c>
      <c r="K9" t="s">
        <v>20</v>
      </c>
      <c r="L9">
        <v>2.4209999999999998</v>
      </c>
      <c r="M9" t="s">
        <v>21</v>
      </c>
      <c r="N9" t="s">
        <v>20</v>
      </c>
      <c r="O9" s="14">
        <v>0.48909999999999998</v>
      </c>
      <c r="P9" t="s">
        <v>21</v>
      </c>
      <c r="Q9" t="s">
        <v>20</v>
      </c>
      <c r="R9">
        <v>5.8999999999999997E-2</v>
      </c>
      <c r="S9" t="s">
        <v>21</v>
      </c>
      <c r="T9" t="s">
        <v>20</v>
      </c>
      <c r="U9">
        <v>2.1309999999999998</v>
      </c>
      <c r="V9" t="s">
        <v>21</v>
      </c>
      <c r="W9" t="s">
        <v>20</v>
      </c>
      <c r="X9">
        <v>1019.7</v>
      </c>
      <c r="Y9" t="s">
        <v>22</v>
      </c>
      <c r="Z9" t="s">
        <v>23</v>
      </c>
      <c r="AA9">
        <v>48.87</v>
      </c>
      <c r="AB9" t="s">
        <v>24</v>
      </c>
      <c r="AC9" t="s">
        <v>23</v>
      </c>
      <c r="AD9">
        <v>58.21</v>
      </c>
      <c r="AE9" t="s">
        <v>24</v>
      </c>
      <c r="AF9" t="s">
        <v>23</v>
      </c>
      <c r="AG9" t="s">
        <v>25</v>
      </c>
      <c r="AH9" s="5">
        <f t="shared" si="0"/>
        <v>51808</v>
      </c>
    </row>
    <row r="10" spans="1:34" x14ac:dyDescent="0.3">
      <c r="A10">
        <v>0</v>
      </c>
      <c r="B10" s="1">
        <v>45777</v>
      </c>
      <c r="C10" s="2">
        <v>0.6003356481481481</v>
      </c>
      <c r="D10" t="s">
        <v>160</v>
      </c>
      <c r="E10" t="s">
        <v>18</v>
      </c>
      <c r="F10">
        <v>2.0099999999999998</v>
      </c>
      <c r="G10" t="s">
        <v>19</v>
      </c>
      <c r="H10" t="s">
        <v>20</v>
      </c>
      <c r="I10" s="14">
        <v>621.83000000000004</v>
      </c>
      <c r="J10" t="s">
        <v>21</v>
      </c>
      <c r="K10" t="s">
        <v>20</v>
      </c>
      <c r="L10">
        <v>2.4500000000000002</v>
      </c>
      <c r="M10" t="s">
        <v>21</v>
      </c>
      <c r="N10" t="s">
        <v>20</v>
      </c>
      <c r="O10" s="14">
        <v>0.49759999999999999</v>
      </c>
      <c r="P10" t="s">
        <v>21</v>
      </c>
      <c r="Q10" t="s">
        <v>20</v>
      </c>
      <c r="R10">
        <v>0</v>
      </c>
      <c r="S10" t="s">
        <v>21</v>
      </c>
      <c r="T10" t="s">
        <v>20</v>
      </c>
      <c r="U10">
        <v>2.12</v>
      </c>
      <c r="V10" t="s">
        <v>21</v>
      </c>
      <c r="W10" t="s">
        <v>20</v>
      </c>
      <c r="X10">
        <v>1019.6</v>
      </c>
      <c r="Y10" t="s">
        <v>22</v>
      </c>
      <c r="Z10" t="s">
        <v>23</v>
      </c>
      <c r="AA10">
        <v>49.23</v>
      </c>
      <c r="AB10" t="s">
        <v>24</v>
      </c>
      <c r="AC10" t="s">
        <v>23</v>
      </c>
      <c r="AD10">
        <v>58.32</v>
      </c>
      <c r="AE10" t="s">
        <v>24</v>
      </c>
      <c r="AF10" t="s">
        <v>23</v>
      </c>
      <c r="AG10" t="s">
        <v>25</v>
      </c>
      <c r="AH10" s="5">
        <f t="shared" si="0"/>
        <v>51869</v>
      </c>
    </row>
    <row r="13" spans="1:34" ht="23.4" x14ac:dyDescent="0.45">
      <c r="A13" s="3" t="s">
        <v>231</v>
      </c>
      <c r="O13" s="4" t="s">
        <v>232</v>
      </c>
    </row>
    <row r="14" spans="1:34" x14ac:dyDescent="0.3">
      <c r="B14" t="s">
        <v>233</v>
      </c>
      <c r="C14">
        <f>L21</f>
        <v>137.03000000000003</v>
      </c>
      <c r="F14" t="s">
        <v>234</v>
      </c>
      <c r="G14" s="5">
        <f>C16</f>
        <v>0.32091334894613588</v>
      </c>
      <c r="M14" s="5"/>
      <c r="P14" t="s">
        <v>233</v>
      </c>
      <c r="Q14">
        <f>Z21</f>
        <v>6.9699999999999984E-2</v>
      </c>
      <c r="T14" t="s">
        <v>234</v>
      </c>
      <c r="U14" s="5">
        <f>Q16</f>
        <v>1.6323185011709598E-4</v>
      </c>
      <c r="AA14" s="7"/>
    </row>
    <row r="15" spans="1:34" x14ac:dyDescent="0.3">
      <c r="B15" t="s">
        <v>2</v>
      </c>
      <c r="C15" s="5">
        <f>M21</f>
        <v>427</v>
      </c>
      <c r="F15" t="s">
        <v>235</v>
      </c>
      <c r="G15" s="8">
        <v>9.6699999999999998E-3</v>
      </c>
      <c r="M15" s="5"/>
      <c r="P15" t="s">
        <v>2</v>
      </c>
      <c r="Q15" s="5">
        <f>AA21</f>
        <v>427</v>
      </c>
      <c r="T15" t="s">
        <v>235</v>
      </c>
      <c r="U15" s="8">
        <v>9.6699999999999998E-3</v>
      </c>
      <c r="AA15" s="7"/>
    </row>
    <row r="16" spans="1:34" x14ac:dyDescent="0.3">
      <c r="B16" t="s">
        <v>236</v>
      </c>
      <c r="C16" s="5">
        <f>C14/C15</f>
        <v>0.32091334894613588</v>
      </c>
      <c r="F16" t="s">
        <v>237</v>
      </c>
      <c r="G16">
        <f>22.4*10^-3</f>
        <v>2.24E-2</v>
      </c>
      <c r="M16" s="5"/>
      <c r="P16" t="s">
        <v>236</v>
      </c>
      <c r="Q16" s="9">
        <f>Q14/Q15</f>
        <v>1.6323185011709598E-4</v>
      </c>
      <c r="T16" t="s">
        <v>237</v>
      </c>
      <c r="U16">
        <f>22.4*10^-3</f>
        <v>2.24E-2</v>
      </c>
      <c r="AA16" s="7"/>
    </row>
    <row r="17" spans="6:27" x14ac:dyDescent="0.3">
      <c r="F17" s="10" t="s">
        <v>238</v>
      </c>
      <c r="G17" s="10">
        <v>12.8</v>
      </c>
      <c r="H17" t="s">
        <v>239</v>
      </c>
      <c r="I17">
        <f>G17+273</f>
        <v>285.8</v>
      </c>
      <c r="M17" s="5"/>
      <c r="T17" s="10" t="s">
        <v>238</v>
      </c>
      <c r="U17" s="10">
        <v>12.8</v>
      </c>
      <c r="V17" t="s">
        <v>239</v>
      </c>
      <c r="W17">
        <f>U17+273</f>
        <v>285.8</v>
      </c>
      <c r="AA17" s="7"/>
    </row>
    <row r="18" spans="6:27" x14ac:dyDescent="0.3">
      <c r="F18" t="s">
        <v>240</v>
      </c>
      <c r="G18">
        <v>273</v>
      </c>
      <c r="M18" s="5"/>
      <c r="T18" t="s">
        <v>240</v>
      </c>
      <c r="U18">
        <v>273</v>
      </c>
      <c r="AA18" s="7"/>
    </row>
    <row r="19" spans="6:27" x14ac:dyDescent="0.3">
      <c r="F19" t="s">
        <v>241</v>
      </c>
      <c r="G19">
        <v>3.1399999999999997E-2</v>
      </c>
      <c r="M19" s="5"/>
      <c r="T19" t="s">
        <v>241</v>
      </c>
      <c r="U19">
        <v>3.1399999999999997E-2</v>
      </c>
      <c r="AA19" s="7"/>
    </row>
    <row r="20" spans="6:27" x14ac:dyDescent="0.3">
      <c r="L20" s="14" t="s">
        <v>247</v>
      </c>
      <c r="M20" s="15" t="s">
        <v>248</v>
      </c>
      <c r="Z20" s="14" t="s">
        <v>249</v>
      </c>
      <c r="AA20" s="16" t="s">
        <v>248</v>
      </c>
    </row>
    <row r="21" spans="6:27" x14ac:dyDescent="0.3">
      <c r="F21" t="s">
        <v>242</v>
      </c>
      <c r="G21">
        <f>G18/I17</f>
        <v>0.95521343596920916</v>
      </c>
      <c r="L21">
        <f>I10-I3</f>
        <v>137.03000000000003</v>
      </c>
      <c r="M21" s="7">
        <f>AH10-AH3</f>
        <v>427</v>
      </c>
      <c r="T21" t="s">
        <v>242</v>
      </c>
      <c r="U21">
        <f>U18/W17</f>
        <v>0.95521343596920916</v>
      </c>
      <c r="Z21">
        <f>O10-O3</f>
        <v>6.9699999999999984E-2</v>
      </c>
      <c r="AA21" s="7">
        <f>AH10-AH3</f>
        <v>427</v>
      </c>
    </row>
    <row r="22" spans="6:27" x14ac:dyDescent="0.3">
      <c r="F22" t="s">
        <v>243</v>
      </c>
      <c r="G22">
        <f>1/G19</f>
        <v>31.847133757961785</v>
      </c>
      <c r="M22" s="11">
        <f>M21/60</f>
        <v>7.1166666666666663</v>
      </c>
      <c r="T22" t="s">
        <v>243</v>
      </c>
      <c r="U22">
        <f>1/U19</f>
        <v>31.847133757961785</v>
      </c>
      <c r="AA22" s="11"/>
    </row>
    <row r="23" spans="6:27" x14ac:dyDescent="0.3">
      <c r="F23" t="s">
        <v>244</v>
      </c>
      <c r="G23">
        <f>G16/G21</f>
        <v>2.3450256410256411E-2</v>
      </c>
      <c r="T23" t="s">
        <v>244</v>
      </c>
      <c r="U23">
        <f>U16/U21</f>
        <v>2.3450256410256411E-2</v>
      </c>
      <c r="AA23" s="7"/>
    </row>
    <row r="24" spans="6:27" x14ac:dyDescent="0.3">
      <c r="L24" s="6">
        <f>(L21/M21)*(G15/G16)/G19</f>
        <v>4.4120110388835512</v>
      </c>
      <c r="Z24" s="6">
        <f>(Z21/AA21)*(U15/U16)/U19</f>
        <v>2.244159449829843E-3</v>
      </c>
      <c r="AA24" s="7"/>
    </row>
    <row r="25" spans="6:27" x14ac:dyDescent="0.3">
      <c r="F25" s="10">
        <f>(G14)*(G15/G23)*(G22)</f>
        <v>4.2144122239860362</v>
      </c>
      <c r="T25" s="10">
        <f>(U14)*(U15/U23)*(U22)</f>
        <v>2.1436512589347342E-3</v>
      </c>
      <c r="AA25" s="7"/>
    </row>
    <row r="27" spans="6:27" x14ac:dyDescent="0.3">
      <c r="Y27" s="12" t="s">
        <v>245</v>
      </c>
      <c r="Z27" s="12">
        <f>Z24*298</f>
        <v>0.66875951604929318</v>
      </c>
      <c r="AA27" s="7"/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9C8D8-8011-41DB-B49C-C81BE229E2D2}">
  <dimension ref="A1:AH27"/>
  <sheetViews>
    <sheetView topLeftCell="I18" workbookViewId="0">
      <selection activeCell="Z27" sqref="Z27"/>
    </sheetView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</v>
      </c>
      <c r="K1" t="s">
        <v>7</v>
      </c>
      <c r="L1" t="s">
        <v>9</v>
      </c>
      <c r="M1" t="s">
        <v>6</v>
      </c>
      <c r="N1" t="s">
        <v>7</v>
      </c>
      <c r="O1" t="s">
        <v>10</v>
      </c>
      <c r="P1" t="s">
        <v>6</v>
      </c>
      <c r="Q1" t="s">
        <v>7</v>
      </c>
      <c r="R1" t="s">
        <v>11</v>
      </c>
      <c r="S1" t="s">
        <v>6</v>
      </c>
      <c r="T1" t="s">
        <v>7</v>
      </c>
      <c r="U1" t="s">
        <v>12</v>
      </c>
      <c r="V1" t="s">
        <v>6</v>
      </c>
      <c r="W1" t="s">
        <v>7</v>
      </c>
      <c r="X1" t="s">
        <v>13</v>
      </c>
      <c r="Y1" t="s">
        <v>6</v>
      </c>
      <c r="Z1" t="s">
        <v>7</v>
      </c>
      <c r="AA1" t="s">
        <v>14</v>
      </c>
      <c r="AB1" t="s">
        <v>6</v>
      </c>
      <c r="AC1" t="s">
        <v>7</v>
      </c>
      <c r="AD1" t="s">
        <v>15</v>
      </c>
      <c r="AE1" t="s">
        <v>6</v>
      </c>
      <c r="AF1" t="s">
        <v>7</v>
      </c>
      <c r="AG1" t="s">
        <v>16</v>
      </c>
      <c r="AH1" t="s">
        <v>246</v>
      </c>
    </row>
    <row r="2" spans="1:34" x14ac:dyDescent="0.3">
      <c r="A2">
        <v>0</v>
      </c>
      <c r="B2" s="1">
        <v>45777</v>
      </c>
      <c r="C2" s="2">
        <v>0.60192129629629632</v>
      </c>
      <c r="D2" t="s">
        <v>161</v>
      </c>
      <c r="E2" t="s">
        <v>18</v>
      </c>
      <c r="F2">
        <v>1.66</v>
      </c>
      <c r="G2" t="s">
        <v>19</v>
      </c>
      <c r="H2" t="s">
        <v>20</v>
      </c>
      <c r="I2">
        <v>493.04</v>
      </c>
      <c r="J2" t="s">
        <v>21</v>
      </c>
      <c r="K2" t="s">
        <v>20</v>
      </c>
      <c r="L2">
        <v>2.4849999999999999</v>
      </c>
      <c r="M2" t="s">
        <v>21</v>
      </c>
      <c r="N2" t="s">
        <v>20</v>
      </c>
      <c r="O2">
        <v>0.42309999999999998</v>
      </c>
      <c r="P2" t="s">
        <v>21</v>
      </c>
      <c r="Q2" t="s">
        <v>20</v>
      </c>
      <c r="R2">
        <v>5.0000000000000001E-3</v>
      </c>
      <c r="S2" t="s">
        <v>21</v>
      </c>
      <c r="T2" t="s">
        <v>20</v>
      </c>
      <c r="U2">
        <v>2.1379999999999999</v>
      </c>
      <c r="V2" t="s">
        <v>21</v>
      </c>
      <c r="W2" t="s">
        <v>20</v>
      </c>
      <c r="X2">
        <v>1019.7</v>
      </c>
      <c r="Y2" t="s">
        <v>22</v>
      </c>
      <c r="Z2" t="s">
        <v>23</v>
      </c>
      <c r="AA2">
        <v>49.63</v>
      </c>
      <c r="AB2" t="s">
        <v>24</v>
      </c>
      <c r="AC2" t="s">
        <v>23</v>
      </c>
      <c r="AD2">
        <v>58.61</v>
      </c>
      <c r="AE2" t="s">
        <v>24</v>
      </c>
      <c r="AF2" t="s">
        <v>23</v>
      </c>
      <c r="AG2" t="s">
        <v>25</v>
      </c>
      <c r="AH2" s="5">
        <f>HOUR(C2)*3600 + MINUTE(C2)*60 + SECOND(C2)</f>
        <v>52006</v>
      </c>
    </row>
    <row r="3" spans="1:34" x14ac:dyDescent="0.3">
      <c r="A3">
        <v>0</v>
      </c>
      <c r="B3" s="1">
        <v>45777</v>
      </c>
      <c r="C3" s="2">
        <v>0.6026273148148148</v>
      </c>
      <c r="D3" t="s">
        <v>162</v>
      </c>
      <c r="E3" t="s">
        <v>18</v>
      </c>
      <c r="F3">
        <v>1.64</v>
      </c>
      <c r="G3" t="s">
        <v>19</v>
      </c>
      <c r="H3" t="s">
        <v>20</v>
      </c>
      <c r="I3" s="14">
        <v>476.24</v>
      </c>
      <c r="J3" t="s">
        <v>21</v>
      </c>
      <c r="K3" t="s">
        <v>20</v>
      </c>
      <c r="L3">
        <v>2.4889999999999999</v>
      </c>
      <c r="M3" t="s">
        <v>21</v>
      </c>
      <c r="N3" t="s">
        <v>20</v>
      </c>
      <c r="O3" s="14">
        <v>0.40150000000000002</v>
      </c>
      <c r="P3" t="s">
        <v>21</v>
      </c>
      <c r="Q3" t="s">
        <v>20</v>
      </c>
      <c r="R3">
        <v>1.0999999999999999E-2</v>
      </c>
      <c r="S3" t="s">
        <v>21</v>
      </c>
      <c r="T3" t="s">
        <v>20</v>
      </c>
      <c r="U3">
        <v>2.161</v>
      </c>
      <c r="V3" t="s">
        <v>21</v>
      </c>
      <c r="W3" t="s">
        <v>20</v>
      </c>
      <c r="X3">
        <v>1019.7</v>
      </c>
      <c r="Y3" t="s">
        <v>22</v>
      </c>
      <c r="Z3" t="s">
        <v>23</v>
      </c>
      <c r="AA3">
        <v>49.81</v>
      </c>
      <c r="AB3" t="s">
        <v>24</v>
      </c>
      <c r="AC3" t="s">
        <v>23</v>
      </c>
      <c r="AD3">
        <v>58.72</v>
      </c>
      <c r="AE3" t="s">
        <v>24</v>
      </c>
      <c r="AF3" t="s">
        <v>23</v>
      </c>
      <c r="AG3" t="s">
        <v>25</v>
      </c>
      <c r="AH3" s="5">
        <f t="shared" ref="AH3:AH11" si="0">HOUR(C3)*3600 + MINUTE(C3)*60 + SECOND(C3)</f>
        <v>52067</v>
      </c>
    </row>
    <row r="4" spans="1:34" x14ac:dyDescent="0.3">
      <c r="A4">
        <v>0</v>
      </c>
      <c r="B4" s="1">
        <v>45777</v>
      </c>
      <c r="C4" s="2">
        <v>0.60334490740740743</v>
      </c>
      <c r="D4" t="s">
        <v>163</v>
      </c>
      <c r="E4" t="s">
        <v>18</v>
      </c>
      <c r="F4">
        <v>1.73</v>
      </c>
      <c r="G4" t="s">
        <v>19</v>
      </c>
      <c r="H4" t="s">
        <v>20</v>
      </c>
      <c r="I4" s="14">
        <v>494.53</v>
      </c>
      <c r="J4" t="s">
        <v>21</v>
      </c>
      <c r="K4" t="s">
        <v>20</v>
      </c>
      <c r="L4">
        <v>2.5019999999999998</v>
      </c>
      <c r="M4" t="s">
        <v>21</v>
      </c>
      <c r="N4" t="s">
        <v>20</v>
      </c>
      <c r="O4" s="14">
        <v>0.40600000000000003</v>
      </c>
      <c r="P4" t="s">
        <v>21</v>
      </c>
      <c r="Q4" t="s">
        <v>20</v>
      </c>
      <c r="R4">
        <v>5.0000000000000001E-3</v>
      </c>
      <c r="S4" t="s">
        <v>21</v>
      </c>
      <c r="T4" t="s">
        <v>20</v>
      </c>
      <c r="U4">
        <v>2.1629999999999998</v>
      </c>
      <c r="V4" t="s">
        <v>21</v>
      </c>
      <c r="W4" t="s">
        <v>20</v>
      </c>
      <c r="X4">
        <v>1019.6</v>
      </c>
      <c r="Y4" t="s">
        <v>22</v>
      </c>
      <c r="Z4" t="s">
        <v>23</v>
      </c>
      <c r="AA4">
        <v>50.15</v>
      </c>
      <c r="AB4" t="s">
        <v>24</v>
      </c>
      <c r="AC4" t="s">
        <v>23</v>
      </c>
      <c r="AD4">
        <v>58.9</v>
      </c>
      <c r="AE4" t="s">
        <v>24</v>
      </c>
      <c r="AF4" t="s">
        <v>23</v>
      </c>
      <c r="AG4" t="s">
        <v>25</v>
      </c>
      <c r="AH4" s="5">
        <f t="shared" si="0"/>
        <v>52129</v>
      </c>
    </row>
    <row r="5" spans="1:34" x14ac:dyDescent="0.3">
      <c r="A5">
        <v>0</v>
      </c>
      <c r="B5" s="1">
        <v>45777</v>
      </c>
      <c r="C5" s="2">
        <v>0.60405092592592591</v>
      </c>
      <c r="D5" t="s">
        <v>164</v>
      </c>
      <c r="E5" t="s">
        <v>18</v>
      </c>
      <c r="F5">
        <v>1.81</v>
      </c>
      <c r="G5" t="s">
        <v>19</v>
      </c>
      <c r="H5" t="s">
        <v>20</v>
      </c>
      <c r="I5" s="14">
        <v>512.48</v>
      </c>
      <c r="J5" t="s">
        <v>21</v>
      </c>
      <c r="K5" t="s">
        <v>20</v>
      </c>
      <c r="L5">
        <v>2.544</v>
      </c>
      <c r="M5" t="s">
        <v>21</v>
      </c>
      <c r="N5" t="s">
        <v>20</v>
      </c>
      <c r="O5" s="14">
        <v>0.41</v>
      </c>
      <c r="P5" t="s">
        <v>21</v>
      </c>
      <c r="Q5" t="s">
        <v>20</v>
      </c>
      <c r="R5">
        <v>0</v>
      </c>
      <c r="S5" t="s">
        <v>21</v>
      </c>
      <c r="T5" t="s">
        <v>20</v>
      </c>
      <c r="U5">
        <v>2.1440000000000001</v>
      </c>
      <c r="V5" t="s">
        <v>21</v>
      </c>
      <c r="W5" t="s">
        <v>20</v>
      </c>
      <c r="X5">
        <v>1019.7</v>
      </c>
      <c r="Y5" t="s">
        <v>22</v>
      </c>
      <c r="Z5" t="s">
        <v>23</v>
      </c>
      <c r="AA5">
        <v>50.29</v>
      </c>
      <c r="AB5" t="s">
        <v>24</v>
      </c>
      <c r="AC5" t="s">
        <v>23</v>
      </c>
      <c r="AD5">
        <v>59.15</v>
      </c>
      <c r="AE5" t="s">
        <v>24</v>
      </c>
      <c r="AF5" t="s">
        <v>23</v>
      </c>
      <c r="AG5" t="s">
        <v>25</v>
      </c>
      <c r="AH5" s="5">
        <f t="shared" si="0"/>
        <v>52190</v>
      </c>
    </row>
    <row r="6" spans="1:34" x14ac:dyDescent="0.3">
      <c r="A6">
        <v>0</v>
      </c>
      <c r="B6" s="1">
        <v>45777</v>
      </c>
      <c r="C6" s="2">
        <v>0.60476851851851854</v>
      </c>
      <c r="D6" t="s">
        <v>165</v>
      </c>
      <c r="E6" t="s">
        <v>18</v>
      </c>
      <c r="F6">
        <v>1.88</v>
      </c>
      <c r="G6" t="s">
        <v>19</v>
      </c>
      <c r="H6" t="s">
        <v>20</v>
      </c>
      <c r="I6" s="14">
        <v>530.98</v>
      </c>
      <c r="J6" t="s">
        <v>21</v>
      </c>
      <c r="K6" t="s">
        <v>20</v>
      </c>
      <c r="L6">
        <v>2.5680000000000001</v>
      </c>
      <c r="M6" t="s">
        <v>21</v>
      </c>
      <c r="N6" t="s">
        <v>20</v>
      </c>
      <c r="O6" s="14">
        <v>0.42099999999999999</v>
      </c>
      <c r="P6" t="s">
        <v>21</v>
      </c>
      <c r="Q6" t="s">
        <v>20</v>
      </c>
      <c r="R6">
        <v>0</v>
      </c>
      <c r="S6" t="s">
        <v>21</v>
      </c>
      <c r="T6" t="s">
        <v>20</v>
      </c>
      <c r="U6">
        <v>2.149</v>
      </c>
      <c r="V6" t="s">
        <v>21</v>
      </c>
      <c r="W6" t="s">
        <v>20</v>
      </c>
      <c r="X6">
        <v>1019.7</v>
      </c>
      <c r="Y6" t="s">
        <v>22</v>
      </c>
      <c r="Z6" t="s">
        <v>23</v>
      </c>
      <c r="AA6">
        <v>50.51</v>
      </c>
      <c r="AB6" t="s">
        <v>24</v>
      </c>
      <c r="AC6" t="s">
        <v>23</v>
      </c>
      <c r="AD6">
        <v>59.39</v>
      </c>
      <c r="AE6" t="s">
        <v>24</v>
      </c>
      <c r="AF6" t="s">
        <v>23</v>
      </c>
      <c r="AG6" t="s">
        <v>25</v>
      </c>
      <c r="AH6" s="5">
        <f t="shared" si="0"/>
        <v>52252</v>
      </c>
    </row>
    <row r="7" spans="1:34" x14ac:dyDescent="0.3">
      <c r="A7">
        <v>0</v>
      </c>
      <c r="B7" s="1">
        <v>45777</v>
      </c>
      <c r="C7" s="2">
        <v>0.60547453703703702</v>
      </c>
      <c r="D7" t="s">
        <v>166</v>
      </c>
      <c r="E7" t="s">
        <v>18</v>
      </c>
      <c r="F7">
        <v>1.94</v>
      </c>
      <c r="G7" t="s">
        <v>19</v>
      </c>
      <c r="H7" t="s">
        <v>20</v>
      </c>
      <c r="I7" s="14">
        <v>546.47</v>
      </c>
      <c r="J7" t="s">
        <v>21</v>
      </c>
      <c r="K7" t="s">
        <v>20</v>
      </c>
      <c r="L7">
        <v>2.5830000000000002</v>
      </c>
      <c r="M7" t="s">
        <v>21</v>
      </c>
      <c r="N7" t="s">
        <v>20</v>
      </c>
      <c r="O7" s="14">
        <v>0.4148</v>
      </c>
      <c r="P7" t="s">
        <v>21</v>
      </c>
      <c r="Q7" t="s">
        <v>20</v>
      </c>
      <c r="R7">
        <v>0</v>
      </c>
      <c r="S7" t="s">
        <v>21</v>
      </c>
      <c r="T7" t="s">
        <v>20</v>
      </c>
      <c r="U7">
        <v>2.153</v>
      </c>
      <c r="V7" t="s">
        <v>21</v>
      </c>
      <c r="W7" t="s">
        <v>20</v>
      </c>
      <c r="X7">
        <v>1019.7</v>
      </c>
      <c r="Y7" t="s">
        <v>22</v>
      </c>
      <c r="Z7" t="s">
        <v>23</v>
      </c>
      <c r="AA7">
        <v>50.65</v>
      </c>
      <c r="AB7" t="s">
        <v>24</v>
      </c>
      <c r="AC7" t="s">
        <v>23</v>
      </c>
      <c r="AD7">
        <v>59.64</v>
      </c>
      <c r="AE7" t="s">
        <v>24</v>
      </c>
      <c r="AF7" t="s">
        <v>23</v>
      </c>
      <c r="AG7" t="s">
        <v>25</v>
      </c>
      <c r="AH7" s="5">
        <f t="shared" si="0"/>
        <v>52313</v>
      </c>
    </row>
    <row r="8" spans="1:34" x14ac:dyDescent="0.3">
      <c r="A8">
        <v>0</v>
      </c>
      <c r="B8" s="1">
        <v>45777</v>
      </c>
      <c r="C8" s="2">
        <v>0.6061805555555555</v>
      </c>
      <c r="D8" t="s">
        <v>167</v>
      </c>
      <c r="E8" t="s">
        <v>18</v>
      </c>
      <c r="F8">
        <v>1.98</v>
      </c>
      <c r="G8" t="s">
        <v>19</v>
      </c>
      <c r="H8" t="s">
        <v>20</v>
      </c>
      <c r="I8" s="14">
        <v>561.78</v>
      </c>
      <c r="J8" t="s">
        <v>21</v>
      </c>
      <c r="K8" t="s">
        <v>20</v>
      </c>
      <c r="L8">
        <v>2.5990000000000002</v>
      </c>
      <c r="M8" t="s">
        <v>21</v>
      </c>
      <c r="N8" t="s">
        <v>20</v>
      </c>
      <c r="O8" s="14">
        <v>0.4204</v>
      </c>
      <c r="P8" t="s">
        <v>21</v>
      </c>
      <c r="Q8" t="s">
        <v>20</v>
      </c>
      <c r="R8">
        <v>3.4000000000000002E-2</v>
      </c>
      <c r="S8" t="s">
        <v>21</v>
      </c>
      <c r="T8" t="s">
        <v>20</v>
      </c>
      <c r="U8">
        <v>2.1339999999999999</v>
      </c>
      <c r="V8" t="s">
        <v>21</v>
      </c>
      <c r="W8" t="s">
        <v>20</v>
      </c>
      <c r="X8">
        <v>1019.7</v>
      </c>
      <c r="Y8" t="s">
        <v>22</v>
      </c>
      <c r="Z8" t="s">
        <v>23</v>
      </c>
      <c r="AA8">
        <v>50.72</v>
      </c>
      <c r="AB8" t="s">
        <v>24</v>
      </c>
      <c r="AC8" t="s">
        <v>23</v>
      </c>
      <c r="AD8">
        <v>59.76</v>
      </c>
      <c r="AE8" t="s">
        <v>24</v>
      </c>
      <c r="AF8" t="s">
        <v>23</v>
      </c>
      <c r="AG8" t="s">
        <v>25</v>
      </c>
      <c r="AH8" s="5">
        <f t="shared" si="0"/>
        <v>52374</v>
      </c>
    </row>
    <row r="9" spans="1:34" x14ac:dyDescent="0.3">
      <c r="A9">
        <v>0</v>
      </c>
      <c r="B9" s="1">
        <v>45777</v>
      </c>
      <c r="C9" s="2">
        <v>0.60688657407407409</v>
      </c>
      <c r="D9" t="s">
        <v>168</v>
      </c>
      <c r="E9" t="s">
        <v>18</v>
      </c>
      <c r="F9">
        <v>2.0299999999999998</v>
      </c>
      <c r="G9" t="s">
        <v>19</v>
      </c>
      <c r="H9" t="s">
        <v>20</v>
      </c>
      <c r="I9" s="14">
        <v>577.28</v>
      </c>
      <c r="J9" t="s">
        <v>21</v>
      </c>
      <c r="K9" t="s">
        <v>20</v>
      </c>
      <c r="L9">
        <v>2.593</v>
      </c>
      <c r="M9" t="s">
        <v>21</v>
      </c>
      <c r="N9" t="s">
        <v>20</v>
      </c>
      <c r="O9" s="14">
        <v>0.42209999999999998</v>
      </c>
      <c r="P9" t="s">
        <v>21</v>
      </c>
      <c r="Q9" t="s">
        <v>20</v>
      </c>
      <c r="R9">
        <v>0</v>
      </c>
      <c r="S9" t="s">
        <v>21</v>
      </c>
      <c r="T9" t="s">
        <v>20</v>
      </c>
      <c r="U9">
        <v>2.1240000000000001</v>
      </c>
      <c r="V9" t="s">
        <v>21</v>
      </c>
      <c r="W9" t="s">
        <v>20</v>
      </c>
      <c r="X9">
        <v>1019.7</v>
      </c>
      <c r="Y9" t="s">
        <v>22</v>
      </c>
      <c r="Z9" t="s">
        <v>23</v>
      </c>
      <c r="AA9">
        <v>50.73</v>
      </c>
      <c r="AB9" t="s">
        <v>24</v>
      </c>
      <c r="AC9" t="s">
        <v>23</v>
      </c>
      <c r="AD9">
        <v>59.82</v>
      </c>
      <c r="AE9" t="s">
        <v>24</v>
      </c>
      <c r="AF9" t="s">
        <v>23</v>
      </c>
      <c r="AG9" t="s">
        <v>25</v>
      </c>
      <c r="AH9" s="5">
        <f t="shared" si="0"/>
        <v>52435</v>
      </c>
    </row>
    <row r="10" spans="1:34" x14ac:dyDescent="0.3">
      <c r="A10">
        <v>0</v>
      </c>
      <c r="B10" s="1">
        <v>45777</v>
      </c>
      <c r="C10" s="2">
        <v>0.60759259259259257</v>
      </c>
      <c r="D10" t="s">
        <v>169</v>
      </c>
      <c r="E10" t="s">
        <v>18</v>
      </c>
      <c r="F10">
        <v>2.0699999999999998</v>
      </c>
      <c r="G10" t="s">
        <v>19</v>
      </c>
      <c r="H10" t="s">
        <v>20</v>
      </c>
      <c r="I10" s="14">
        <v>592.15</v>
      </c>
      <c r="J10" t="s">
        <v>21</v>
      </c>
      <c r="K10" t="s">
        <v>20</v>
      </c>
      <c r="L10">
        <v>2.63</v>
      </c>
      <c r="M10" t="s">
        <v>21</v>
      </c>
      <c r="N10" t="s">
        <v>20</v>
      </c>
      <c r="O10" s="14">
        <v>0.4194</v>
      </c>
      <c r="P10" t="s">
        <v>21</v>
      </c>
      <c r="Q10" t="s">
        <v>20</v>
      </c>
      <c r="R10">
        <v>0</v>
      </c>
      <c r="S10" t="s">
        <v>21</v>
      </c>
      <c r="T10" t="s">
        <v>20</v>
      </c>
      <c r="U10">
        <v>2.13</v>
      </c>
      <c r="V10" t="s">
        <v>21</v>
      </c>
      <c r="W10" t="s">
        <v>20</v>
      </c>
      <c r="X10">
        <v>1019.7</v>
      </c>
      <c r="Y10" t="s">
        <v>22</v>
      </c>
      <c r="Z10" t="s">
        <v>23</v>
      </c>
      <c r="AA10">
        <v>50.75</v>
      </c>
      <c r="AB10" t="s">
        <v>24</v>
      </c>
      <c r="AC10" t="s">
        <v>23</v>
      </c>
      <c r="AD10">
        <v>59.77</v>
      </c>
      <c r="AE10" t="s">
        <v>24</v>
      </c>
      <c r="AF10" t="s">
        <v>23</v>
      </c>
      <c r="AG10" t="s">
        <v>25</v>
      </c>
      <c r="AH10" s="5">
        <f t="shared" si="0"/>
        <v>52496</v>
      </c>
    </row>
    <row r="11" spans="1:34" x14ac:dyDescent="0.3">
      <c r="A11">
        <v>0</v>
      </c>
      <c r="B11" s="1">
        <v>45777</v>
      </c>
      <c r="C11" s="2">
        <v>0.6083101851851852</v>
      </c>
      <c r="D11" t="s">
        <v>170</v>
      </c>
      <c r="E11" t="s">
        <v>18</v>
      </c>
      <c r="F11">
        <v>2.11</v>
      </c>
      <c r="G11" t="s">
        <v>19</v>
      </c>
      <c r="H11" t="s">
        <v>20</v>
      </c>
      <c r="I11" s="14">
        <v>606.57000000000005</v>
      </c>
      <c r="J11" t="s">
        <v>21</v>
      </c>
      <c r="K11" t="s">
        <v>20</v>
      </c>
      <c r="L11">
        <v>2.6589999999999998</v>
      </c>
      <c r="M11" t="s">
        <v>21</v>
      </c>
      <c r="N11" t="s">
        <v>20</v>
      </c>
      <c r="O11" s="14">
        <v>0.42349999999999999</v>
      </c>
      <c r="P11" t="s">
        <v>21</v>
      </c>
      <c r="Q11" t="s">
        <v>20</v>
      </c>
      <c r="R11">
        <v>1.6E-2</v>
      </c>
      <c r="S11" t="s">
        <v>21</v>
      </c>
      <c r="T11" t="s">
        <v>20</v>
      </c>
      <c r="U11">
        <v>2.14</v>
      </c>
      <c r="V11" t="s">
        <v>21</v>
      </c>
      <c r="W11" t="s">
        <v>20</v>
      </c>
      <c r="X11">
        <v>1019.7</v>
      </c>
      <c r="Y11" t="s">
        <v>22</v>
      </c>
      <c r="Z11" t="s">
        <v>23</v>
      </c>
      <c r="AA11">
        <v>50.79</v>
      </c>
      <c r="AB11" t="s">
        <v>24</v>
      </c>
      <c r="AC11" t="s">
        <v>23</v>
      </c>
      <c r="AD11">
        <v>59.79</v>
      </c>
      <c r="AE11" t="s">
        <v>24</v>
      </c>
      <c r="AF11" t="s">
        <v>23</v>
      </c>
      <c r="AG11" t="s">
        <v>25</v>
      </c>
      <c r="AH11" s="5">
        <f t="shared" si="0"/>
        <v>52558</v>
      </c>
    </row>
    <row r="13" spans="1:34" ht="23.4" x14ac:dyDescent="0.45">
      <c r="A13" s="3" t="s">
        <v>231</v>
      </c>
      <c r="O13" s="4" t="s">
        <v>232</v>
      </c>
    </row>
    <row r="14" spans="1:34" x14ac:dyDescent="0.3">
      <c r="B14" t="s">
        <v>233</v>
      </c>
      <c r="C14">
        <f>L21</f>
        <v>130.33000000000004</v>
      </c>
      <c r="F14" t="s">
        <v>234</v>
      </c>
      <c r="G14" s="5">
        <f>C16</f>
        <v>0.26543788187372719</v>
      </c>
      <c r="M14" s="5"/>
      <c r="P14" t="s">
        <v>233</v>
      </c>
      <c r="Q14">
        <f>Z21</f>
        <v>2.1999999999999964E-2</v>
      </c>
      <c r="T14" t="s">
        <v>234</v>
      </c>
      <c r="U14" s="5">
        <f>Q16</f>
        <v>4.4806517311608885E-5</v>
      </c>
      <c r="AA14" s="7"/>
    </row>
    <row r="15" spans="1:34" x14ac:dyDescent="0.3">
      <c r="B15" t="s">
        <v>2</v>
      </c>
      <c r="C15" s="5">
        <f>M21</f>
        <v>491</v>
      </c>
      <c r="F15" t="s">
        <v>235</v>
      </c>
      <c r="G15" s="8">
        <v>9.6699999999999998E-3</v>
      </c>
      <c r="M15" s="5"/>
      <c r="P15" t="s">
        <v>2</v>
      </c>
      <c r="Q15" s="5">
        <f>AA21</f>
        <v>491</v>
      </c>
      <c r="T15" t="s">
        <v>235</v>
      </c>
      <c r="U15" s="8">
        <v>9.6699999999999998E-3</v>
      </c>
      <c r="AA15" s="7"/>
    </row>
    <row r="16" spans="1:34" x14ac:dyDescent="0.3">
      <c r="B16" t="s">
        <v>236</v>
      </c>
      <c r="C16" s="5">
        <f>C14/C15</f>
        <v>0.26543788187372719</v>
      </c>
      <c r="F16" t="s">
        <v>237</v>
      </c>
      <c r="G16">
        <f>22.4*10^-3</f>
        <v>2.24E-2</v>
      </c>
      <c r="M16" s="5"/>
      <c r="P16" t="s">
        <v>236</v>
      </c>
      <c r="Q16" s="9">
        <f>Q14/Q15</f>
        <v>4.4806517311608885E-5</v>
      </c>
      <c r="T16" t="s">
        <v>237</v>
      </c>
      <c r="U16">
        <f>22.4*10^-3</f>
        <v>2.24E-2</v>
      </c>
      <c r="AA16" s="7"/>
    </row>
    <row r="17" spans="6:27" x14ac:dyDescent="0.3">
      <c r="F17" s="10" t="s">
        <v>238</v>
      </c>
      <c r="G17" s="10">
        <v>12.8</v>
      </c>
      <c r="H17" t="s">
        <v>239</v>
      </c>
      <c r="I17">
        <f>G17+273</f>
        <v>285.8</v>
      </c>
      <c r="M17" s="5"/>
      <c r="T17" s="10" t="s">
        <v>238</v>
      </c>
      <c r="U17" s="10">
        <v>12.8</v>
      </c>
      <c r="V17" t="s">
        <v>239</v>
      </c>
      <c r="W17">
        <f>U17+273</f>
        <v>285.8</v>
      </c>
      <c r="AA17" s="7"/>
    </row>
    <row r="18" spans="6:27" x14ac:dyDescent="0.3">
      <c r="F18" t="s">
        <v>240</v>
      </c>
      <c r="G18">
        <v>273</v>
      </c>
      <c r="M18" s="5"/>
      <c r="T18" t="s">
        <v>240</v>
      </c>
      <c r="U18">
        <v>273</v>
      </c>
      <c r="AA18" s="7"/>
    </row>
    <row r="19" spans="6:27" x14ac:dyDescent="0.3">
      <c r="F19" t="s">
        <v>241</v>
      </c>
      <c r="G19">
        <v>3.1399999999999997E-2</v>
      </c>
      <c r="M19" s="5"/>
      <c r="T19" t="s">
        <v>241</v>
      </c>
      <c r="U19">
        <v>3.1399999999999997E-2</v>
      </c>
      <c r="AA19" s="7"/>
    </row>
    <row r="20" spans="6:27" x14ac:dyDescent="0.3">
      <c r="L20" s="14" t="s">
        <v>247</v>
      </c>
      <c r="M20" s="15" t="s">
        <v>248</v>
      </c>
      <c r="Z20" s="14" t="s">
        <v>249</v>
      </c>
      <c r="AA20" s="16" t="s">
        <v>248</v>
      </c>
    </row>
    <row r="21" spans="6:27" x14ac:dyDescent="0.3">
      <c r="F21" t="s">
        <v>242</v>
      </c>
      <c r="G21">
        <f>G18/I17</f>
        <v>0.95521343596920916</v>
      </c>
      <c r="L21">
        <f>I11-I3</f>
        <v>130.33000000000004</v>
      </c>
      <c r="M21" s="7">
        <f>AH11-AH3</f>
        <v>491</v>
      </c>
      <c r="T21" t="s">
        <v>242</v>
      </c>
      <c r="U21">
        <f>U18/W17</f>
        <v>0.95521343596920916</v>
      </c>
      <c r="Z21">
        <f>O11-O3</f>
        <v>2.1999999999999964E-2</v>
      </c>
      <c r="AA21" s="7">
        <f>AH11-AH3</f>
        <v>491</v>
      </c>
    </row>
    <row r="22" spans="6:27" x14ac:dyDescent="0.3">
      <c r="F22" t="s">
        <v>243</v>
      </c>
      <c r="G22">
        <f>1/G19</f>
        <v>31.847133757961785</v>
      </c>
      <c r="M22" s="11">
        <f>M21/60</f>
        <v>8.1833333333333336</v>
      </c>
      <c r="T22" t="s">
        <v>243</v>
      </c>
      <c r="U22">
        <f>1/U19</f>
        <v>31.847133757961785</v>
      </c>
      <c r="AA22" s="11"/>
    </row>
    <row r="23" spans="6:27" x14ac:dyDescent="0.3">
      <c r="F23" t="s">
        <v>244</v>
      </c>
      <c r="G23">
        <f>G16/G21</f>
        <v>2.3450256410256411E-2</v>
      </c>
      <c r="T23" t="s">
        <v>244</v>
      </c>
      <c r="U23">
        <f>U16/U21</f>
        <v>2.3450256410256411E-2</v>
      </c>
      <c r="AA23" s="7"/>
    </row>
    <row r="24" spans="6:27" x14ac:dyDescent="0.3">
      <c r="L24" s="6">
        <f>(L21/M21)*(G15/G16)/G19</f>
        <v>3.649318013135439</v>
      </c>
      <c r="Z24" s="6">
        <f>(Z21/AA21)*(U15/U16)/U19</f>
        <v>6.1601316879444088E-4</v>
      </c>
      <c r="AA24" s="7"/>
    </row>
    <row r="25" spans="6:27" x14ac:dyDescent="0.3">
      <c r="F25" s="10">
        <f>(G14)*(G15/G23)*(G22)</f>
        <v>3.4858775982714296</v>
      </c>
      <c r="T25" s="10">
        <f>(U14)*(U15/U23)*(U22)</f>
        <v>5.8842405556641826E-4</v>
      </c>
      <c r="AA25" s="7"/>
    </row>
    <row r="27" spans="6:27" x14ac:dyDescent="0.3">
      <c r="Y27" s="12" t="s">
        <v>245</v>
      </c>
      <c r="Z27" s="12">
        <f>Z24*298</f>
        <v>0.18357192430074337</v>
      </c>
      <c r="AA27" s="7"/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12064-896E-41B5-B9F1-068BC71C8D77}">
  <dimension ref="A1:AH27"/>
  <sheetViews>
    <sheetView topLeftCell="I18" workbookViewId="0">
      <selection activeCell="Z27" sqref="Z27"/>
    </sheetView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</v>
      </c>
      <c r="K1" t="s">
        <v>7</v>
      </c>
      <c r="L1" t="s">
        <v>9</v>
      </c>
      <c r="M1" t="s">
        <v>6</v>
      </c>
      <c r="N1" t="s">
        <v>7</v>
      </c>
      <c r="O1" t="s">
        <v>10</v>
      </c>
      <c r="P1" t="s">
        <v>6</v>
      </c>
      <c r="Q1" t="s">
        <v>7</v>
      </c>
      <c r="R1" t="s">
        <v>11</v>
      </c>
      <c r="S1" t="s">
        <v>6</v>
      </c>
      <c r="T1" t="s">
        <v>7</v>
      </c>
      <c r="U1" t="s">
        <v>12</v>
      </c>
      <c r="V1" t="s">
        <v>6</v>
      </c>
      <c r="W1" t="s">
        <v>7</v>
      </c>
      <c r="X1" t="s">
        <v>13</v>
      </c>
      <c r="Y1" t="s">
        <v>6</v>
      </c>
      <c r="Z1" t="s">
        <v>7</v>
      </c>
      <c r="AA1" t="s">
        <v>14</v>
      </c>
      <c r="AB1" t="s">
        <v>6</v>
      </c>
      <c r="AC1" t="s">
        <v>7</v>
      </c>
      <c r="AD1" t="s">
        <v>15</v>
      </c>
      <c r="AE1" t="s">
        <v>6</v>
      </c>
      <c r="AF1" t="s">
        <v>7</v>
      </c>
      <c r="AG1" t="s">
        <v>16</v>
      </c>
      <c r="AH1" t="s">
        <v>246</v>
      </c>
    </row>
    <row r="2" spans="1:34" x14ac:dyDescent="0.3">
      <c r="A2">
        <v>0</v>
      </c>
      <c r="B2" s="1">
        <v>45777</v>
      </c>
      <c r="C2" s="2">
        <v>0.61069444444444443</v>
      </c>
      <c r="D2" t="s">
        <v>171</v>
      </c>
      <c r="E2" t="s">
        <v>18</v>
      </c>
      <c r="F2">
        <v>1.79</v>
      </c>
      <c r="G2" t="s">
        <v>19</v>
      </c>
      <c r="H2" t="s">
        <v>20</v>
      </c>
      <c r="I2">
        <v>514.4</v>
      </c>
      <c r="J2" t="s">
        <v>21</v>
      </c>
      <c r="K2" t="s">
        <v>20</v>
      </c>
      <c r="L2">
        <v>2.7549999999999999</v>
      </c>
      <c r="M2" t="s">
        <v>21</v>
      </c>
      <c r="N2" t="s">
        <v>20</v>
      </c>
      <c r="O2">
        <v>0.42759999999999998</v>
      </c>
      <c r="P2" t="s">
        <v>21</v>
      </c>
      <c r="Q2" t="s">
        <v>20</v>
      </c>
      <c r="R2">
        <v>3.4000000000000002E-2</v>
      </c>
      <c r="S2" t="s">
        <v>21</v>
      </c>
      <c r="T2" t="s">
        <v>20</v>
      </c>
      <c r="U2">
        <v>2.1429999999999998</v>
      </c>
      <c r="V2" t="s">
        <v>21</v>
      </c>
      <c r="W2" t="s">
        <v>20</v>
      </c>
      <c r="X2">
        <v>1019.6</v>
      </c>
      <c r="Y2" t="s">
        <v>22</v>
      </c>
      <c r="Z2" t="s">
        <v>23</v>
      </c>
      <c r="AA2">
        <v>50.98</v>
      </c>
      <c r="AB2" t="s">
        <v>24</v>
      </c>
      <c r="AC2" t="s">
        <v>23</v>
      </c>
      <c r="AD2">
        <v>59.86</v>
      </c>
      <c r="AE2" t="s">
        <v>24</v>
      </c>
      <c r="AF2" t="s">
        <v>23</v>
      </c>
      <c r="AG2" t="s">
        <v>25</v>
      </c>
      <c r="AH2" s="5">
        <f>HOUR(C2)*3600 + MINUTE(C2)*60 + SECOND(C2)</f>
        <v>52764</v>
      </c>
    </row>
    <row r="3" spans="1:34" x14ac:dyDescent="0.3">
      <c r="A3">
        <v>0</v>
      </c>
      <c r="B3" s="1">
        <v>45777</v>
      </c>
      <c r="C3" s="2">
        <v>0.61140046296296291</v>
      </c>
      <c r="D3" t="s">
        <v>172</v>
      </c>
      <c r="E3" t="s">
        <v>18</v>
      </c>
      <c r="F3">
        <v>1.76</v>
      </c>
      <c r="G3" t="s">
        <v>19</v>
      </c>
      <c r="H3" t="s">
        <v>20</v>
      </c>
      <c r="I3">
        <v>512.15</v>
      </c>
      <c r="J3" t="s">
        <v>21</v>
      </c>
      <c r="K3" t="s">
        <v>20</v>
      </c>
      <c r="L3">
        <v>2.827</v>
      </c>
      <c r="M3" t="s">
        <v>21</v>
      </c>
      <c r="N3" t="s">
        <v>20</v>
      </c>
      <c r="O3" s="14">
        <v>0.44009999999999999</v>
      </c>
      <c r="P3" t="s">
        <v>21</v>
      </c>
      <c r="Q3" t="s">
        <v>20</v>
      </c>
      <c r="R3">
        <v>1.4999999999999999E-2</v>
      </c>
      <c r="S3" t="s">
        <v>21</v>
      </c>
      <c r="T3" t="s">
        <v>20</v>
      </c>
      <c r="U3">
        <v>2.1379999999999999</v>
      </c>
      <c r="V3" t="s">
        <v>21</v>
      </c>
      <c r="W3" t="s">
        <v>20</v>
      </c>
      <c r="X3">
        <v>1019.6</v>
      </c>
      <c r="Y3" t="s">
        <v>22</v>
      </c>
      <c r="Z3" t="s">
        <v>23</v>
      </c>
      <c r="AA3">
        <v>51.08</v>
      </c>
      <c r="AB3" t="s">
        <v>24</v>
      </c>
      <c r="AC3" t="s">
        <v>23</v>
      </c>
      <c r="AD3">
        <v>59.97</v>
      </c>
      <c r="AE3" t="s">
        <v>24</v>
      </c>
      <c r="AF3" t="s">
        <v>23</v>
      </c>
      <c r="AG3" t="s">
        <v>25</v>
      </c>
      <c r="AH3" s="5">
        <f t="shared" ref="AH3:AH11" si="0">HOUR(C3)*3600 + MINUTE(C3)*60 + SECOND(C3)</f>
        <v>52825</v>
      </c>
    </row>
    <row r="4" spans="1:34" x14ac:dyDescent="0.3">
      <c r="A4">
        <v>0</v>
      </c>
      <c r="B4" s="1">
        <v>45777</v>
      </c>
      <c r="C4" s="2">
        <v>0.6121064814814815</v>
      </c>
      <c r="D4" t="s">
        <v>173</v>
      </c>
      <c r="E4" t="s">
        <v>18</v>
      </c>
      <c r="F4">
        <v>1.84</v>
      </c>
      <c r="G4" t="s">
        <v>19</v>
      </c>
      <c r="H4" t="s">
        <v>20</v>
      </c>
      <c r="I4">
        <v>538.76</v>
      </c>
      <c r="J4" t="s">
        <v>21</v>
      </c>
      <c r="K4" t="s">
        <v>20</v>
      </c>
      <c r="L4">
        <v>2.8090000000000002</v>
      </c>
      <c r="M4" t="s">
        <v>21</v>
      </c>
      <c r="N4" t="s">
        <v>20</v>
      </c>
      <c r="O4" s="14">
        <v>0.45440000000000003</v>
      </c>
      <c r="P4" t="s">
        <v>21</v>
      </c>
      <c r="Q4" t="s">
        <v>20</v>
      </c>
      <c r="R4">
        <v>0</v>
      </c>
      <c r="S4" t="s">
        <v>21</v>
      </c>
      <c r="T4" t="s">
        <v>20</v>
      </c>
      <c r="U4">
        <v>2.1379999999999999</v>
      </c>
      <c r="V4" t="s">
        <v>21</v>
      </c>
      <c r="W4" t="s">
        <v>20</v>
      </c>
      <c r="X4">
        <v>1019.6</v>
      </c>
      <c r="Y4" t="s">
        <v>22</v>
      </c>
      <c r="Z4" t="s">
        <v>23</v>
      </c>
      <c r="AA4">
        <v>51.21</v>
      </c>
      <c r="AB4" t="s">
        <v>24</v>
      </c>
      <c r="AC4" t="s">
        <v>23</v>
      </c>
      <c r="AD4">
        <v>60.08</v>
      </c>
      <c r="AE4" t="s">
        <v>24</v>
      </c>
      <c r="AF4" t="s">
        <v>23</v>
      </c>
      <c r="AG4" t="s">
        <v>25</v>
      </c>
      <c r="AH4" s="5">
        <f t="shared" si="0"/>
        <v>52886</v>
      </c>
    </row>
    <row r="5" spans="1:34" x14ac:dyDescent="0.3">
      <c r="A5">
        <v>0</v>
      </c>
      <c r="B5" s="1">
        <v>45777</v>
      </c>
      <c r="C5" s="2">
        <v>0.61281249999999998</v>
      </c>
      <c r="D5" t="s">
        <v>174</v>
      </c>
      <c r="E5" t="s">
        <v>18</v>
      </c>
      <c r="F5">
        <v>1.9</v>
      </c>
      <c r="G5" t="s">
        <v>19</v>
      </c>
      <c r="H5" t="s">
        <v>20</v>
      </c>
      <c r="I5">
        <v>561.98</v>
      </c>
      <c r="J5" t="s">
        <v>21</v>
      </c>
      <c r="K5" t="s">
        <v>20</v>
      </c>
      <c r="L5">
        <v>2.802</v>
      </c>
      <c r="M5" t="s">
        <v>21</v>
      </c>
      <c r="N5" t="s">
        <v>20</v>
      </c>
      <c r="O5" s="14">
        <v>0.46510000000000001</v>
      </c>
      <c r="P5" t="s">
        <v>21</v>
      </c>
      <c r="Q5" t="s">
        <v>20</v>
      </c>
      <c r="R5">
        <v>5.2999999999999999E-2</v>
      </c>
      <c r="S5" t="s">
        <v>21</v>
      </c>
      <c r="T5" t="s">
        <v>20</v>
      </c>
      <c r="U5">
        <v>2.1429999999999998</v>
      </c>
      <c r="V5" t="s">
        <v>21</v>
      </c>
      <c r="W5" t="s">
        <v>20</v>
      </c>
      <c r="X5">
        <v>1019.7</v>
      </c>
      <c r="Y5" t="s">
        <v>22</v>
      </c>
      <c r="Z5" t="s">
        <v>23</v>
      </c>
      <c r="AA5">
        <v>51.35</v>
      </c>
      <c r="AB5" t="s">
        <v>24</v>
      </c>
      <c r="AC5" t="s">
        <v>23</v>
      </c>
      <c r="AD5">
        <v>60.25</v>
      </c>
      <c r="AE5" t="s">
        <v>24</v>
      </c>
      <c r="AF5" t="s">
        <v>23</v>
      </c>
      <c r="AG5" t="s">
        <v>25</v>
      </c>
      <c r="AH5" s="5">
        <f t="shared" si="0"/>
        <v>52947</v>
      </c>
    </row>
    <row r="6" spans="1:34" x14ac:dyDescent="0.3">
      <c r="A6">
        <v>0</v>
      </c>
      <c r="B6" s="1">
        <v>45777</v>
      </c>
      <c r="C6" s="2">
        <v>0.61351851851851846</v>
      </c>
      <c r="D6" t="s">
        <v>175</v>
      </c>
      <c r="E6" t="s">
        <v>18</v>
      </c>
      <c r="F6">
        <v>1.95</v>
      </c>
      <c r="G6" t="s">
        <v>19</v>
      </c>
      <c r="H6" t="s">
        <v>20</v>
      </c>
      <c r="I6">
        <v>581.82000000000005</v>
      </c>
      <c r="J6" t="s">
        <v>21</v>
      </c>
      <c r="K6" t="s">
        <v>20</v>
      </c>
      <c r="L6">
        <v>2.84</v>
      </c>
      <c r="M6" t="s">
        <v>21</v>
      </c>
      <c r="N6" t="s">
        <v>20</v>
      </c>
      <c r="O6" s="14">
        <v>0.47970000000000002</v>
      </c>
      <c r="P6" t="s">
        <v>21</v>
      </c>
      <c r="Q6" t="s">
        <v>20</v>
      </c>
      <c r="R6">
        <v>0.05</v>
      </c>
      <c r="S6" t="s">
        <v>21</v>
      </c>
      <c r="T6" t="s">
        <v>20</v>
      </c>
      <c r="U6">
        <v>2.1549999999999998</v>
      </c>
      <c r="V6" t="s">
        <v>21</v>
      </c>
      <c r="W6" t="s">
        <v>20</v>
      </c>
      <c r="X6">
        <v>1019.6</v>
      </c>
      <c r="Y6" t="s">
        <v>22</v>
      </c>
      <c r="Z6" t="s">
        <v>23</v>
      </c>
      <c r="AA6">
        <v>51.52</v>
      </c>
      <c r="AB6" t="s">
        <v>24</v>
      </c>
      <c r="AC6" t="s">
        <v>23</v>
      </c>
      <c r="AD6">
        <v>60.45</v>
      </c>
      <c r="AE6" t="s">
        <v>24</v>
      </c>
      <c r="AF6" t="s">
        <v>23</v>
      </c>
      <c r="AG6" t="s">
        <v>25</v>
      </c>
      <c r="AH6" s="5">
        <f t="shared" si="0"/>
        <v>53008</v>
      </c>
    </row>
    <row r="7" spans="1:34" x14ac:dyDescent="0.3">
      <c r="A7">
        <v>0</v>
      </c>
      <c r="B7" s="1">
        <v>45777</v>
      </c>
      <c r="C7" s="2">
        <v>0.61422453703703705</v>
      </c>
      <c r="D7" t="s">
        <v>176</v>
      </c>
      <c r="E7" t="s">
        <v>18</v>
      </c>
      <c r="F7">
        <v>2.02</v>
      </c>
      <c r="G7" t="s">
        <v>19</v>
      </c>
      <c r="H7" t="s">
        <v>20</v>
      </c>
      <c r="I7">
        <v>603.24</v>
      </c>
      <c r="J7" t="s">
        <v>21</v>
      </c>
      <c r="K7" t="s">
        <v>20</v>
      </c>
      <c r="L7">
        <v>2.871</v>
      </c>
      <c r="M7" t="s">
        <v>21</v>
      </c>
      <c r="N7" t="s">
        <v>20</v>
      </c>
      <c r="O7" s="14">
        <v>0.49109999999999998</v>
      </c>
      <c r="P7" t="s">
        <v>21</v>
      </c>
      <c r="Q7" t="s">
        <v>20</v>
      </c>
      <c r="R7">
        <v>1.7999999999999999E-2</v>
      </c>
      <c r="S7" t="s">
        <v>21</v>
      </c>
      <c r="T7" t="s">
        <v>20</v>
      </c>
      <c r="U7">
        <v>2.1440000000000001</v>
      </c>
      <c r="V7" t="s">
        <v>21</v>
      </c>
      <c r="W7" t="s">
        <v>20</v>
      </c>
      <c r="X7">
        <v>1019.6</v>
      </c>
      <c r="Y7" t="s">
        <v>22</v>
      </c>
      <c r="Z7" t="s">
        <v>23</v>
      </c>
      <c r="AA7">
        <v>51.66</v>
      </c>
      <c r="AB7" t="s">
        <v>24</v>
      </c>
      <c r="AC7" t="s">
        <v>23</v>
      </c>
      <c r="AD7">
        <v>60.65</v>
      </c>
      <c r="AE7" t="s">
        <v>24</v>
      </c>
      <c r="AF7" t="s">
        <v>23</v>
      </c>
      <c r="AG7" t="s">
        <v>25</v>
      </c>
      <c r="AH7" s="5">
        <f t="shared" si="0"/>
        <v>53069</v>
      </c>
    </row>
    <row r="8" spans="1:34" x14ac:dyDescent="0.3">
      <c r="A8">
        <v>0</v>
      </c>
      <c r="B8" s="1">
        <v>45777</v>
      </c>
      <c r="C8" s="2">
        <v>0.61493055555555554</v>
      </c>
      <c r="D8" t="s">
        <v>177</v>
      </c>
      <c r="E8" t="s">
        <v>18</v>
      </c>
      <c r="F8">
        <v>2.08</v>
      </c>
      <c r="G8" t="s">
        <v>19</v>
      </c>
      <c r="H8" t="s">
        <v>20</v>
      </c>
      <c r="I8">
        <v>623.22</v>
      </c>
      <c r="J8" t="s">
        <v>21</v>
      </c>
      <c r="K8" t="s">
        <v>20</v>
      </c>
      <c r="L8">
        <v>2.8969999999999998</v>
      </c>
      <c r="M8" t="s">
        <v>21</v>
      </c>
      <c r="N8" t="s">
        <v>20</v>
      </c>
      <c r="O8" s="14">
        <v>0.50190000000000001</v>
      </c>
      <c r="P8" t="s">
        <v>21</v>
      </c>
      <c r="Q8" t="s">
        <v>20</v>
      </c>
      <c r="R8">
        <v>0.08</v>
      </c>
      <c r="S8" t="s">
        <v>21</v>
      </c>
      <c r="T8" t="s">
        <v>20</v>
      </c>
      <c r="U8">
        <v>2.133</v>
      </c>
      <c r="V8" t="s">
        <v>21</v>
      </c>
      <c r="W8" t="s">
        <v>20</v>
      </c>
      <c r="X8">
        <v>1019.6</v>
      </c>
      <c r="Y8" t="s">
        <v>22</v>
      </c>
      <c r="Z8" t="s">
        <v>23</v>
      </c>
      <c r="AA8">
        <v>51.8</v>
      </c>
      <c r="AB8" t="s">
        <v>24</v>
      </c>
      <c r="AC8" t="s">
        <v>23</v>
      </c>
      <c r="AD8">
        <v>60.92</v>
      </c>
      <c r="AE8" t="s">
        <v>24</v>
      </c>
      <c r="AF8" t="s">
        <v>23</v>
      </c>
      <c r="AG8" t="s">
        <v>25</v>
      </c>
      <c r="AH8" s="5">
        <f t="shared" si="0"/>
        <v>53130</v>
      </c>
    </row>
    <row r="9" spans="1:34" x14ac:dyDescent="0.3">
      <c r="A9">
        <v>0</v>
      </c>
      <c r="B9" s="1">
        <v>45777</v>
      </c>
      <c r="C9" s="2">
        <v>0.61563657407407413</v>
      </c>
      <c r="D9" t="s">
        <v>178</v>
      </c>
      <c r="E9" t="s">
        <v>18</v>
      </c>
      <c r="F9">
        <v>2.14</v>
      </c>
      <c r="G9" t="s">
        <v>19</v>
      </c>
      <c r="H9" t="s">
        <v>20</v>
      </c>
      <c r="I9">
        <v>641.85</v>
      </c>
      <c r="J9" t="s">
        <v>21</v>
      </c>
      <c r="K9" t="s">
        <v>20</v>
      </c>
      <c r="L9">
        <v>2.9239999999999999</v>
      </c>
      <c r="M9" t="s">
        <v>21</v>
      </c>
      <c r="N9" t="s">
        <v>20</v>
      </c>
      <c r="O9" s="14">
        <v>0.51590000000000003</v>
      </c>
      <c r="P9" t="s">
        <v>21</v>
      </c>
      <c r="Q9" t="s">
        <v>20</v>
      </c>
      <c r="R9">
        <v>0.123</v>
      </c>
      <c r="S9" t="s">
        <v>21</v>
      </c>
      <c r="T9" t="s">
        <v>20</v>
      </c>
      <c r="U9">
        <v>2.1419999999999999</v>
      </c>
      <c r="V9" t="s">
        <v>21</v>
      </c>
      <c r="W9" t="s">
        <v>20</v>
      </c>
      <c r="X9">
        <v>1019.6</v>
      </c>
      <c r="Y9" t="s">
        <v>22</v>
      </c>
      <c r="Z9" t="s">
        <v>23</v>
      </c>
      <c r="AA9">
        <v>51.95</v>
      </c>
      <c r="AB9" t="s">
        <v>24</v>
      </c>
      <c r="AC9" t="s">
        <v>23</v>
      </c>
      <c r="AD9">
        <v>61.06</v>
      </c>
      <c r="AE9" t="s">
        <v>24</v>
      </c>
      <c r="AF9" t="s">
        <v>23</v>
      </c>
      <c r="AG9" t="s">
        <v>25</v>
      </c>
      <c r="AH9" s="5">
        <f t="shared" si="0"/>
        <v>53191</v>
      </c>
    </row>
    <row r="10" spans="1:34" x14ac:dyDescent="0.3">
      <c r="A10">
        <v>0</v>
      </c>
      <c r="B10" s="1">
        <v>45777</v>
      </c>
      <c r="C10" s="2">
        <v>0.61634259259259261</v>
      </c>
      <c r="D10" t="s">
        <v>179</v>
      </c>
      <c r="E10" t="s">
        <v>18</v>
      </c>
      <c r="F10">
        <v>2.19</v>
      </c>
      <c r="G10" t="s">
        <v>19</v>
      </c>
      <c r="H10" t="s">
        <v>20</v>
      </c>
      <c r="I10">
        <v>661.18</v>
      </c>
      <c r="J10" t="s">
        <v>21</v>
      </c>
      <c r="K10" t="s">
        <v>20</v>
      </c>
      <c r="L10">
        <v>2.9609999999999999</v>
      </c>
      <c r="M10" t="s">
        <v>21</v>
      </c>
      <c r="N10" t="s">
        <v>20</v>
      </c>
      <c r="O10" s="14">
        <v>0.52629999999999999</v>
      </c>
      <c r="P10" t="s">
        <v>21</v>
      </c>
      <c r="Q10" t="s">
        <v>20</v>
      </c>
      <c r="R10">
        <v>3.2000000000000001E-2</v>
      </c>
      <c r="S10" t="s">
        <v>21</v>
      </c>
      <c r="T10" t="s">
        <v>20</v>
      </c>
      <c r="U10">
        <v>2.1320000000000001</v>
      </c>
      <c r="V10" t="s">
        <v>21</v>
      </c>
      <c r="W10" t="s">
        <v>20</v>
      </c>
      <c r="X10">
        <v>1019.6</v>
      </c>
      <c r="Y10" t="s">
        <v>22</v>
      </c>
      <c r="Z10" t="s">
        <v>23</v>
      </c>
      <c r="AA10">
        <v>52.09</v>
      </c>
      <c r="AB10" t="s">
        <v>24</v>
      </c>
      <c r="AC10" t="s">
        <v>23</v>
      </c>
      <c r="AD10">
        <v>61.23</v>
      </c>
      <c r="AE10" t="s">
        <v>24</v>
      </c>
      <c r="AF10" t="s">
        <v>23</v>
      </c>
      <c r="AG10" t="s">
        <v>25</v>
      </c>
      <c r="AH10" s="5">
        <f t="shared" si="0"/>
        <v>53252</v>
      </c>
    </row>
    <row r="11" spans="1:34" x14ac:dyDescent="0.3">
      <c r="A11">
        <v>0</v>
      </c>
      <c r="B11" s="1">
        <v>45777</v>
      </c>
      <c r="C11" s="2">
        <v>0.61704861111111109</v>
      </c>
      <c r="D11" t="s">
        <v>180</v>
      </c>
      <c r="E11" t="s">
        <v>18</v>
      </c>
      <c r="F11">
        <v>2.2400000000000002</v>
      </c>
      <c r="G11" t="s">
        <v>19</v>
      </c>
      <c r="H11" t="s">
        <v>20</v>
      </c>
      <c r="I11">
        <v>680.13</v>
      </c>
      <c r="J11" t="s">
        <v>21</v>
      </c>
      <c r="K11" t="s">
        <v>20</v>
      </c>
      <c r="L11">
        <v>2.9820000000000002</v>
      </c>
      <c r="M11" t="s">
        <v>21</v>
      </c>
      <c r="N11" t="s">
        <v>20</v>
      </c>
      <c r="O11" s="14">
        <v>0.54010000000000002</v>
      </c>
      <c r="P11" t="s">
        <v>21</v>
      </c>
      <c r="Q11" t="s">
        <v>20</v>
      </c>
      <c r="R11">
        <v>2.7E-2</v>
      </c>
      <c r="S11" t="s">
        <v>21</v>
      </c>
      <c r="T11" t="s">
        <v>20</v>
      </c>
      <c r="U11">
        <v>2.13</v>
      </c>
      <c r="V11" t="s">
        <v>21</v>
      </c>
      <c r="W11" t="s">
        <v>20</v>
      </c>
      <c r="X11">
        <v>1019.6</v>
      </c>
      <c r="Y11" t="s">
        <v>22</v>
      </c>
      <c r="Z11" t="s">
        <v>23</v>
      </c>
      <c r="AA11">
        <v>52.2</v>
      </c>
      <c r="AB11" t="s">
        <v>24</v>
      </c>
      <c r="AC11" t="s">
        <v>23</v>
      </c>
      <c r="AD11">
        <v>61.34</v>
      </c>
      <c r="AE11" t="s">
        <v>24</v>
      </c>
      <c r="AF11" t="s">
        <v>23</v>
      </c>
      <c r="AG11" t="s">
        <v>25</v>
      </c>
      <c r="AH11" s="5">
        <f t="shared" si="0"/>
        <v>53313</v>
      </c>
    </row>
    <row r="13" spans="1:34" ht="23.4" x14ac:dyDescent="0.45">
      <c r="A13" s="3" t="s">
        <v>231</v>
      </c>
      <c r="O13" s="4" t="s">
        <v>232</v>
      </c>
    </row>
    <row r="14" spans="1:34" x14ac:dyDescent="0.3">
      <c r="B14" t="s">
        <v>233</v>
      </c>
      <c r="C14">
        <f>L21</f>
        <v>129.70000000000005</v>
      </c>
      <c r="F14" t="s">
        <v>234</v>
      </c>
      <c r="G14" s="5">
        <f>C16</f>
        <v>0.35437158469945368</v>
      </c>
      <c r="M14" s="5"/>
      <c r="P14" t="s">
        <v>233</v>
      </c>
      <c r="Q14">
        <f>Z21</f>
        <v>0.10000000000000003</v>
      </c>
      <c r="T14" t="s">
        <v>234</v>
      </c>
      <c r="U14" s="5">
        <f>Q16</f>
        <v>2.0491803278688533E-4</v>
      </c>
      <c r="AA14" s="7"/>
    </row>
    <row r="15" spans="1:34" x14ac:dyDescent="0.3">
      <c r="B15" t="s">
        <v>2</v>
      </c>
      <c r="C15" s="5">
        <f>M21</f>
        <v>366</v>
      </c>
      <c r="F15" t="s">
        <v>235</v>
      </c>
      <c r="G15" s="8">
        <v>9.6699999999999998E-3</v>
      </c>
      <c r="M15" s="5"/>
      <c r="P15" t="s">
        <v>2</v>
      </c>
      <c r="Q15" s="5">
        <f>AA21</f>
        <v>488</v>
      </c>
      <c r="T15" t="s">
        <v>235</v>
      </c>
      <c r="U15" s="8">
        <v>9.6699999999999998E-3</v>
      </c>
      <c r="AA15" s="7"/>
    </row>
    <row r="16" spans="1:34" x14ac:dyDescent="0.3">
      <c r="B16" t="s">
        <v>236</v>
      </c>
      <c r="C16" s="5">
        <f>C14/C15</f>
        <v>0.35437158469945368</v>
      </c>
      <c r="F16" t="s">
        <v>237</v>
      </c>
      <c r="G16">
        <f>22.4*10^-3</f>
        <v>2.24E-2</v>
      </c>
      <c r="M16" s="5"/>
      <c r="P16" t="s">
        <v>236</v>
      </c>
      <c r="Q16" s="9">
        <f>Q14/Q15</f>
        <v>2.0491803278688533E-4</v>
      </c>
      <c r="T16" t="s">
        <v>237</v>
      </c>
      <c r="U16">
        <f>22.4*10^-3</f>
        <v>2.24E-2</v>
      </c>
      <c r="AA16" s="7"/>
    </row>
    <row r="17" spans="6:27" x14ac:dyDescent="0.3">
      <c r="F17" s="10" t="s">
        <v>238</v>
      </c>
      <c r="G17" s="10">
        <v>12.8</v>
      </c>
      <c r="H17" t="s">
        <v>239</v>
      </c>
      <c r="I17">
        <f>G17+273</f>
        <v>285.8</v>
      </c>
      <c r="M17" s="5"/>
      <c r="T17" s="10" t="s">
        <v>238</v>
      </c>
      <c r="U17" s="10">
        <v>12.8</v>
      </c>
      <c r="V17" t="s">
        <v>239</v>
      </c>
      <c r="W17">
        <f>U17+273</f>
        <v>285.8</v>
      </c>
      <c r="AA17" s="7"/>
    </row>
    <row r="18" spans="6:27" x14ac:dyDescent="0.3">
      <c r="F18" t="s">
        <v>240</v>
      </c>
      <c r="G18">
        <v>273</v>
      </c>
      <c r="M18" s="5"/>
      <c r="T18" t="s">
        <v>240</v>
      </c>
      <c r="U18">
        <v>273</v>
      </c>
      <c r="AA18" s="7"/>
    </row>
    <row r="19" spans="6:27" x14ac:dyDescent="0.3">
      <c r="F19" t="s">
        <v>241</v>
      </c>
      <c r="G19">
        <v>3.1399999999999997E-2</v>
      </c>
      <c r="M19" s="5"/>
      <c r="T19" t="s">
        <v>241</v>
      </c>
      <c r="U19">
        <v>3.1399999999999997E-2</v>
      </c>
      <c r="AA19" s="7"/>
    </row>
    <row r="20" spans="6:27" x14ac:dyDescent="0.3">
      <c r="L20" s="14" t="s">
        <v>247</v>
      </c>
      <c r="M20" s="15" t="s">
        <v>248</v>
      </c>
      <c r="Z20" s="14" t="s">
        <v>249</v>
      </c>
      <c r="AA20" s="16" t="s">
        <v>248</v>
      </c>
    </row>
    <row r="21" spans="6:27" x14ac:dyDescent="0.3">
      <c r="F21" t="s">
        <v>242</v>
      </c>
      <c r="G21">
        <f>G18/I17</f>
        <v>0.95521343596920916</v>
      </c>
      <c r="L21">
        <f>I9-I3</f>
        <v>129.70000000000005</v>
      </c>
      <c r="M21" s="7">
        <f>AH9-AH3</f>
        <v>366</v>
      </c>
      <c r="T21" t="s">
        <v>242</v>
      </c>
      <c r="U21">
        <f>U18/W17</f>
        <v>0.95521343596920916</v>
      </c>
      <c r="Z21">
        <f>O11-O3</f>
        <v>0.10000000000000003</v>
      </c>
      <c r="AA21" s="7">
        <f>AH11-AH3</f>
        <v>488</v>
      </c>
    </row>
    <row r="22" spans="6:27" x14ac:dyDescent="0.3">
      <c r="F22" t="s">
        <v>243</v>
      </c>
      <c r="G22">
        <f>1/G19</f>
        <v>31.847133757961785</v>
      </c>
      <c r="M22" s="11">
        <f>M21/60</f>
        <v>6.1</v>
      </c>
      <c r="T22" t="s">
        <v>243</v>
      </c>
      <c r="U22">
        <f>1/U19</f>
        <v>31.847133757961785</v>
      </c>
      <c r="AA22" s="11"/>
    </row>
    <row r="23" spans="6:27" x14ac:dyDescent="0.3">
      <c r="F23" t="s">
        <v>244</v>
      </c>
      <c r="G23">
        <f>G16/G21</f>
        <v>2.3450256410256411E-2</v>
      </c>
      <c r="T23" t="s">
        <v>244</v>
      </c>
      <c r="U23">
        <f>U16/U21</f>
        <v>2.3450256410256411E-2</v>
      </c>
      <c r="AA23" s="7"/>
    </row>
    <row r="24" spans="6:27" x14ac:dyDescent="0.3">
      <c r="L24" s="6">
        <f>(L21/M21)*(G15/G16)/G19</f>
        <v>4.8720046975143845</v>
      </c>
      <c r="Z24" s="6">
        <f>(Z21/AA21)*(U15/U16)/U19</f>
        <v>2.8172733408911247E-3</v>
      </c>
      <c r="AA24" s="7"/>
    </row>
    <row r="25" spans="6:27" x14ac:dyDescent="0.3">
      <c r="F25" s="10">
        <f>(G14)*(G15/G23)*(G22)</f>
        <v>4.6538043471708423</v>
      </c>
      <c r="T25" s="10">
        <f>(U14)*(U15/U23)*(U22)</f>
        <v>2.6910973480170639E-3</v>
      </c>
      <c r="AA25" s="7"/>
    </row>
    <row r="27" spans="6:27" x14ac:dyDescent="0.3">
      <c r="Y27" s="12" t="s">
        <v>245</v>
      </c>
      <c r="Z27" s="12">
        <f>Z24*298</f>
        <v>0.83954745558555521</v>
      </c>
      <c r="AA27" s="7"/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93FB2-8120-45FF-A84B-9674CFE64A75}">
  <dimension ref="A1:AH26"/>
  <sheetViews>
    <sheetView topLeftCell="I16" workbookViewId="0">
      <selection activeCell="Z26" sqref="Z26"/>
    </sheetView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</v>
      </c>
      <c r="K1" t="s">
        <v>7</v>
      </c>
      <c r="L1" t="s">
        <v>9</v>
      </c>
      <c r="M1" t="s">
        <v>6</v>
      </c>
      <c r="N1" t="s">
        <v>7</v>
      </c>
      <c r="O1" t="s">
        <v>10</v>
      </c>
      <c r="P1" t="s">
        <v>6</v>
      </c>
      <c r="Q1" t="s">
        <v>7</v>
      </c>
      <c r="R1" t="s">
        <v>11</v>
      </c>
      <c r="S1" t="s">
        <v>6</v>
      </c>
      <c r="T1" t="s">
        <v>7</v>
      </c>
      <c r="U1" t="s">
        <v>12</v>
      </c>
      <c r="V1" t="s">
        <v>6</v>
      </c>
      <c r="W1" t="s">
        <v>7</v>
      </c>
      <c r="X1" t="s">
        <v>13</v>
      </c>
      <c r="Y1" t="s">
        <v>6</v>
      </c>
      <c r="Z1" t="s">
        <v>7</v>
      </c>
      <c r="AA1" t="s">
        <v>14</v>
      </c>
      <c r="AB1" t="s">
        <v>6</v>
      </c>
      <c r="AC1" t="s">
        <v>7</v>
      </c>
      <c r="AD1" t="s">
        <v>15</v>
      </c>
      <c r="AE1" t="s">
        <v>6</v>
      </c>
      <c r="AF1" t="s">
        <v>7</v>
      </c>
      <c r="AG1" t="s">
        <v>16</v>
      </c>
      <c r="AH1" t="s">
        <v>246</v>
      </c>
    </row>
    <row r="2" spans="1:34" x14ac:dyDescent="0.3">
      <c r="A2">
        <v>0</v>
      </c>
      <c r="B2" s="1">
        <v>45777</v>
      </c>
      <c r="C2" s="2">
        <v>0.63483796296296291</v>
      </c>
      <c r="D2" t="s">
        <v>181</v>
      </c>
      <c r="E2" t="s">
        <v>18</v>
      </c>
      <c r="F2">
        <v>1.59</v>
      </c>
      <c r="G2" t="s">
        <v>19</v>
      </c>
      <c r="H2" t="s">
        <v>20</v>
      </c>
      <c r="I2">
        <v>509.64</v>
      </c>
      <c r="J2" t="s">
        <v>21</v>
      </c>
      <c r="K2" t="s">
        <v>20</v>
      </c>
      <c r="L2">
        <v>3.4780000000000002</v>
      </c>
      <c r="M2" t="s">
        <v>21</v>
      </c>
      <c r="N2" t="s">
        <v>20</v>
      </c>
      <c r="O2">
        <v>0.42909999999999998</v>
      </c>
      <c r="P2" t="s">
        <v>21</v>
      </c>
      <c r="Q2" t="s">
        <v>20</v>
      </c>
      <c r="R2">
        <v>6.4000000000000001E-2</v>
      </c>
      <c r="S2" t="s">
        <v>21</v>
      </c>
      <c r="T2" t="s">
        <v>20</v>
      </c>
      <c r="U2">
        <v>2.0539999999999998</v>
      </c>
      <c r="V2" t="s">
        <v>21</v>
      </c>
      <c r="W2" t="s">
        <v>20</v>
      </c>
      <c r="X2">
        <v>1017.8</v>
      </c>
      <c r="Y2" t="s">
        <v>22</v>
      </c>
      <c r="Z2" t="s">
        <v>23</v>
      </c>
      <c r="AA2">
        <v>45.38</v>
      </c>
      <c r="AB2" t="s">
        <v>24</v>
      </c>
      <c r="AC2" t="s">
        <v>23</v>
      </c>
      <c r="AD2">
        <v>45.61</v>
      </c>
      <c r="AE2" t="s">
        <v>24</v>
      </c>
      <c r="AF2" t="s">
        <v>23</v>
      </c>
      <c r="AG2" t="s">
        <v>25</v>
      </c>
      <c r="AH2" s="5">
        <f>HOUR(C2)*3600 + MINUTE(C2)*60 + SECOND(C2)</f>
        <v>54850</v>
      </c>
    </row>
    <row r="3" spans="1:34" x14ac:dyDescent="0.3">
      <c r="A3">
        <v>0</v>
      </c>
      <c r="B3" s="1">
        <v>45777</v>
      </c>
      <c r="C3" s="2">
        <v>0.6355439814814815</v>
      </c>
      <c r="D3" t="s">
        <v>182</v>
      </c>
      <c r="E3" t="s">
        <v>18</v>
      </c>
      <c r="F3">
        <v>1.58</v>
      </c>
      <c r="G3" t="s">
        <v>19</v>
      </c>
      <c r="H3" t="s">
        <v>20</v>
      </c>
      <c r="I3" s="14">
        <v>500.59</v>
      </c>
      <c r="J3" t="s">
        <v>21</v>
      </c>
      <c r="K3" t="s">
        <v>20</v>
      </c>
      <c r="L3">
        <v>3.173</v>
      </c>
      <c r="M3" t="s">
        <v>21</v>
      </c>
      <c r="N3" t="s">
        <v>20</v>
      </c>
      <c r="O3" s="14">
        <v>0.4209</v>
      </c>
      <c r="P3" t="s">
        <v>21</v>
      </c>
      <c r="Q3" t="s">
        <v>20</v>
      </c>
      <c r="R3">
        <v>0</v>
      </c>
      <c r="S3" t="s">
        <v>21</v>
      </c>
      <c r="T3" t="s">
        <v>20</v>
      </c>
      <c r="U3">
        <v>2.073</v>
      </c>
      <c r="V3" t="s">
        <v>21</v>
      </c>
      <c r="W3" t="s">
        <v>20</v>
      </c>
      <c r="X3">
        <v>1018</v>
      </c>
      <c r="Y3" t="s">
        <v>22</v>
      </c>
      <c r="Z3" t="s">
        <v>23</v>
      </c>
      <c r="AA3">
        <v>46.12</v>
      </c>
      <c r="AB3" t="s">
        <v>24</v>
      </c>
      <c r="AC3" t="s">
        <v>23</v>
      </c>
      <c r="AD3">
        <v>49.15</v>
      </c>
      <c r="AE3" t="s">
        <v>24</v>
      </c>
      <c r="AF3" t="s">
        <v>23</v>
      </c>
      <c r="AG3" t="s">
        <v>25</v>
      </c>
      <c r="AH3" s="5">
        <f t="shared" ref="AH3:AH9" si="0">HOUR(C3)*3600 + MINUTE(C3)*60 + SECOND(C3)</f>
        <v>54911</v>
      </c>
    </row>
    <row r="4" spans="1:34" x14ac:dyDescent="0.3">
      <c r="A4">
        <v>0</v>
      </c>
      <c r="B4" s="1">
        <v>45777</v>
      </c>
      <c r="C4" s="2">
        <v>0.63624999999999998</v>
      </c>
      <c r="D4" t="s">
        <v>183</v>
      </c>
      <c r="E4" t="s">
        <v>18</v>
      </c>
      <c r="F4">
        <v>1.65</v>
      </c>
      <c r="G4" t="s">
        <v>19</v>
      </c>
      <c r="H4" t="s">
        <v>20</v>
      </c>
      <c r="I4" s="14">
        <v>520.71</v>
      </c>
      <c r="J4" t="s">
        <v>21</v>
      </c>
      <c r="K4" t="s">
        <v>20</v>
      </c>
      <c r="L4">
        <v>3.121</v>
      </c>
      <c r="M4" t="s">
        <v>21</v>
      </c>
      <c r="N4" t="s">
        <v>20</v>
      </c>
      <c r="O4" s="14">
        <v>0.4254</v>
      </c>
      <c r="P4" t="s">
        <v>21</v>
      </c>
      <c r="Q4" t="s">
        <v>20</v>
      </c>
      <c r="R4">
        <v>0</v>
      </c>
      <c r="S4" t="s">
        <v>21</v>
      </c>
      <c r="T4" t="s">
        <v>20</v>
      </c>
      <c r="U4">
        <v>2.0819999999999999</v>
      </c>
      <c r="V4" t="s">
        <v>21</v>
      </c>
      <c r="W4" t="s">
        <v>20</v>
      </c>
      <c r="X4">
        <v>1018.1</v>
      </c>
      <c r="Y4" t="s">
        <v>22</v>
      </c>
      <c r="Z4" t="s">
        <v>23</v>
      </c>
      <c r="AA4">
        <v>46.31</v>
      </c>
      <c r="AB4" t="s">
        <v>24</v>
      </c>
      <c r="AC4" t="s">
        <v>23</v>
      </c>
      <c r="AD4">
        <v>51.39</v>
      </c>
      <c r="AE4" t="s">
        <v>24</v>
      </c>
      <c r="AF4" t="s">
        <v>23</v>
      </c>
      <c r="AG4" t="s">
        <v>25</v>
      </c>
      <c r="AH4" s="5">
        <f t="shared" si="0"/>
        <v>54972</v>
      </c>
    </row>
    <row r="5" spans="1:34" x14ac:dyDescent="0.3">
      <c r="A5">
        <v>0</v>
      </c>
      <c r="B5" s="1">
        <v>45777</v>
      </c>
      <c r="C5" s="2">
        <v>0.63695601851851846</v>
      </c>
      <c r="D5" t="s">
        <v>184</v>
      </c>
      <c r="E5" t="s">
        <v>18</v>
      </c>
      <c r="F5">
        <v>1.7</v>
      </c>
      <c r="G5" t="s">
        <v>19</v>
      </c>
      <c r="H5" t="s">
        <v>20</v>
      </c>
      <c r="I5" s="14">
        <v>544.19000000000005</v>
      </c>
      <c r="J5" t="s">
        <v>21</v>
      </c>
      <c r="K5" t="s">
        <v>20</v>
      </c>
      <c r="L5">
        <v>3.1429999999999998</v>
      </c>
      <c r="M5" t="s">
        <v>21</v>
      </c>
      <c r="N5" t="s">
        <v>20</v>
      </c>
      <c r="O5" s="14">
        <v>0.44290000000000002</v>
      </c>
      <c r="P5" t="s">
        <v>21</v>
      </c>
      <c r="Q5" t="s">
        <v>20</v>
      </c>
      <c r="R5">
        <v>0</v>
      </c>
      <c r="S5" t="s">
        <v>21</v>
      </c>
      <c r="T5" t="s">
        <v>20</v>
      </c>
      <c r="U5">
        <v>2.077</v>
      </c>
      <c r="V5" t="s">
        <v>21</v>
      </c>
      <c r="W5" t="s">
        <v>20</v>
      </c>
      <c r="X5">
        <v>1018.3</v>
      </c>
      <c r="Y5" t="s">
        <v>22</v>
      </c>
      <c r="Z5" t="s">
        <v>23</v>
      </c>
      <c r="AA5">
        <v>46.46</v>
      </c>
      <c r="AB5" t="s">
        <v>24</v>
      </c>
      <c r="AC5" t="s">
        <v>23</v>
      </c>
      <c r="AD5">
        <v>52.88</v>
      </c>
      <c r="AE5" t="s">
        <v>24</v>
      </c>
      <c r="AF5" t="s">
        <v>23</v>
      </c>
      <c r="AG5" t="s">
        <v>25</v>
      </c>
      <c r="AH5" s="5">
        <f t="shared" si="0"/>
        <v>55033</v>
      </c>
    </row>
    <row r="6" spans="1:34" x14ac:dyDescent="0.3">
      <c r="A6">
        <v>0</v>
      </c>
      <c r="B6" s="1">
        <v>45777</v>
      </c>
      <c r="C6" s="2">
        <v>0.63766203703703705</v>
      </c>
      <c r="D6" t="s">
        <v>185</v>
      </c>
      <c r="E6" t="s">
        <v>18</v>
      </c>
      <c r="F6">
        <v>1.75</v>
      </c>
      <c r="G6" t="s">
        <v>19</v>
      </c>
      <c r="H6" t="s">
        <v>20</v>
      </c>
      <c r="I6" s="14">
        <v>568.94000000000005</v>
      </c>
      <c r="J6" t="s">
        <v>21</v>
      </c>
      <c r="K6" t="s">
        <v>20</v>
      </c>
      <c r="L6">
        <v>3.2320000000000002</v>
      </c>
      <c r="M6" t="s">
        <v>21</v>
      </c>
      <c r="N6" t="s">
        <v>20</v>
      </c>
      <c r="O6" s="14">
        <v>0.4587</v>
      </c>
      <c r="P6" t="s">
        <v>21</v>
      </c>
      <c r="Q6" t="s">
        <v>20</v>
      </c>
      <c r="R6">
        <v>0</v>
      </c>
      <c r="S6" t="s">
        <v>21</v>
      </c>
      <c r="T6" t="s">
        <v>20</v>
      </c>
      <c r="U6">
        <v>2.0739999999999998</v>
      </c>
      <c r="V6" t="s">
        <v>21</v>
      </c>
      <c r="W6" t="s">
        <v>20</v>
      </c>
      <c r="X6">
        <v>1018.4</v>
      </c>
      <c r="Y6" t="s">
        <v>22</v>
      </c>
      <c r="Z6" t="s">
        <v>23</v>
      </c>
      <c r="AA6">
        <v>46.49</v>
      </c>
      <c r="AB6" t="s">
        <v>24</v>
      </c>
      <c r="AC6" t="s">
        <v>23</v>
      </c>
      <c r="AD6">
        <v>53.97</v>
      </c>
      <c r="AE6" t="s">
        <v>24</v>
      </c>
      <c r="AF6" t="s">
        <v>23</v>
      </c>
      <c r="AG6" t="s">
        <v>25</v>
      </c>
      <c r="AH6" s="5">
        <f t="shared" si="0"/>
        <v>55094</v>
      </c>
    </row>
    <row r="7" spans="1:34" x14ac:dyDescent="0.3">
      <c r="A7">
        <v>0</v>
      </c>
      <c r="B7" s="1">
        <v>45777</v>
      </c>
      <c r="C7" s="2">
        <v>0.63836805555555554</v>
      </c>
      <c r="D7" t="s">
        <v>186</v>
      </c>
      <c r="E7" t="s">
        <v>18</v>
      </c>
      <c r="F7">
        <v>1.79</v>
      </c>
      <c r="G7" t="s">
        <v>19</v>
      </c>
      <c r="H7" t="s">
        <v>20</v>
      </c>
      <c r="I7" s="14">
        <v>588.51</v>
      </c>
      <c r="J7" t="s">
        <v>21</v>
      </c>
      <c r="K7" t="s">
        <v>20</v>
      </c>
      <c r="L7">
        <v>3.2050000000000001</v>
      </c>
      <c r="M7" t="s">
        <v>21</v>
      </c>
      <c r="N7" t="s">
        <v>20</v>
      </c>
      <c r="O7" s="14">
        <v>0.47339999999999999</v>
      </c>
      <c r="P7" t="s">
        <v>21</v>
      </c>
      <c r="Q7" t="s">
        <v>20</v>
      </c>
      <c r="R7">
        <v>0</v>
      </c>
      <c r="S7" t="s">
        <v>21</v>
      </c>
      <c r="T7" t="s">
        <v>20</v>
      </c>
      <c r="U7">
        <v>2.0550000000000002</v>
      </c>
      <c r="V7" t="s">
        <v>21</v>
      </c>
      <c r="W7" t="s">
        <v>20</v>
      </c>
      <c r="X7">
        <v>1018.4</v>
      </c>
      <c r="Y7" t="s">
        <v>22</v>
      </c>
      <c r="Z7" t="s">
        <v>23</v>
      </c>
      <c r="AA7">
        <v>46.53</v>
      </c>
      <c r="AB7" t="s">
        <v>24</v>
      </c>
      <c r="AC7" t="s">
        <v>23</v>
      </c>
      <c r="AD7">
        <v>54.72</v>
      </c>
      <c r="AE7" t="s">
        <v>24</v>
      </c>
      <c r="AF7" t="s">
        <v>23</v>
      </c>
      <c r="AG7" t="s">
        <v>25</v>
      </c>
      <c r="AH7" s="5">
        <f t="shared" si="0"/>
        <v>55155</v>
      </c>
    </row>
    <row r="8" spans="1:34" x14ac:dyDescent="0.3">
      <c r="A8">
        <v>0</v>
      </c>
      <c r="B8" s="1">
        <v>45777</v>
      </c>
      <c r="C8" s="2">
        <v>0.63907407407407413</v>
      </c>
      <c r="D8" t="s">
        <v>187</v>
      </c>
      <c r="E8" t="s">
        <v>18</v>
      </c>
      <c r="F8">
        <v>1.83</v>
      </c>
      <c r="G8" t="s">
        <v>19</v>
      </c>
      <c r="H8" t="s">
        <v>20</v>
      </c>
      <c r="I8" s="14">
        <v>607.29</v>
      </c>
      <c r="J8" t="s">
        <v>21</v>
      </c>
      <c r="K8" t="s">
        <v>20</v>
      </c>
      <c r="L8">
        <v>3.177</v>
      </c>
      <c r="M8" t="s">
        <v>21</v>
      </c>
      <c r="N8" t="s">
        <v>20</v>
      </c>
      <c r="O8" s="14">
        <v>0.4758</v>
      </c>
      <c r="P8" t="s">
        <v>21</v>
      </c>
      <c r="Q8" t="s">
        <v>20</v>
      </c>
      <c r="R8">
        <v>0</v>
      </c>
      <c r="S8" t="s">
        <v>21</v>
      </c>
      <c r="T8" t="s">
        <v>20</v>
      </c>
      <c r="U8">
        <v>2.0710000000000002</v>
      </c>
      <c r="V8" t="s">
        <v>21</v>
      </c>
      <c r="W8" t="s">
        <v>20</v>
      </c>
      <c r="X8">
        <v>1018.5</v>
      </c>
      <c r="Y8" t="s">
        <v>22</v>
      </c>
      <c r="Z8" t="s">
        <v>23</v>
      </c>
      <c r="AA8">
        <v>46.88</v>
      </c>
      <c r="AB8" t="s">
        <v>24</v>
      </c>
      <c r="AC8" t="s">
        <v>23</v>
      </c>
      <c r="AD8">
        <v>55.28</v>
      </c>
      <c r="AE8" t="s">
        <v>24</v>
      </c>
      <c r="AF8" t="s">
        <v>23</v>
      </c>
      <c r="AG8" t="s">
        <v>25</v>
      </c>
      <c r="AH8" s="5">
        <f t="shared" si="0"/>
        <v>55216</v>
      </c>
    </row>
    <row r="9" spans="1:34" x14ac:dyDescent="0.3">
      <c r="A9">
        <v>0</v>
      </c>
      <c r="B9" s="1">
        <v>45777</v>
      </c>
      <c r="C9" s="2">
        <v>0.63978009259259261</v>
      </c>
      <c r="D9" t="s">
        <v>188</v>
      </c>
      <c r="E9" t="s">
        <v>18</v>
      </c>
      <c r="F9">
        <v>1.88</v>
      </c>
      <c r="G9" t="s">
        <v>19</v>
      </c>
      <c r="H9" t="s">
        <v>20</v>
      </c>
      <c r="I9" s="14">
        <v>628.62</v>
      </c>
      <c r="J9" t="s">
        <v>21</v>
      </c>
      <c r="K9" t="s">
        <v>20</v>
      </c>
      <c r="L9">
        <v>3.2050000000000001</v>
      </c>
      <c r="M9" t="s">
        <v>21</v>
      </c>
      <c r="N9" t="s">
        <v>20</v>
      </c>
      <c r="O9" s="14">
        <v>0.49580000000000002</v>
      </c>
      <c r="P9" t="s">
        <v>21</v>
      </c>
      <c r="Q9" t="s">
        <v>20</v>
      </c>
      <c r="R9">
        <v>0</v>
      </c>
      <c r="S9" t="s">
        <v>21</v>
      </c>
      <c r="T9" t="s">
        <v>20</v>
      </c>
      <c r="U9">
        <v>2.0790000000000002</v>
      </c>
      <c r="V9" t="s">
        <v>21</v>
      </c>
      <c r="W9" t="s">
        <v>20</v>
      </c>
      <c r="X9">
        <v>1018.5</v>
      </c>
      <c r="Y9" t="s">
        <v>22</v>
      </c>
      <c r="Z9" t="s">
        <v>23</v>
      </c>
      <c r="AA9">
        <v>47.42</v>
      </c>
      <c r="AB9" t="s">
        <v>24</v>
      </c>
      <c r="AC9" t="s">
        <v>23</v>
      </c>
      <c r="AD9">
        <v>55.85</v>
      </c>
      <c r="AE9" t="s">
        <v>24</v>
      </c>
      <c r="AF9" t="s">
        <v>23</v>
      </c>
      <c r="AG9" t="s">
        <v>25</v>
      </c>
      <c r="AH9" s="5">
        <f t="shared" si="0"/>
        <v>55277</v>
      </c>
    </row>
    <row r="12" spans="1:34" ht="23.4" x14ac:dyDescent="0.45">
      <c r="A12" s="3" t="s">
        <v>231</v>
      </c>
      <c r="O12" s="4" t="s">
        <v>232</v>
      </c>
    </row>
    <row r="13" spans="1:34" x14ac:dyDescent="0.3">
      <c r="B13" t="s">
        <v>233</v>
      </c>
      <c r="C13">
        <f>L20</f>
        <v>128.03000000000003</v>
      </c>
      <c r="F13" t="s">
        <v>234</v>
      </c>
      <c r="G13" s="5">
        <f>C15</f>
        <v>0.34980874316939897</v>
      </c>
      <c r="M13" s="5"/>
      <c r="P13" t="s">
        <v>233</v>
      </c>
      <c r="Q13">
        <f>Z20</f>
        <v>7.4900000000000022E-2</v>
      </c>
      <c r="T13" t="s">
        <v>234</v>
      </c>
      <c r="U13" s="5">
        <f>Q15</f>
        <v>2.0464480874316947E-4</v>
      </c>
      <c r="AA13" s="7"/>
    </row>
    <row r="14" spans="1:34" x14ac:dyDescent="0.3">
      <c r="B14" t="s">
        <v>2</v>
      </c>
      <c r="C14" s="5">
        <f>M20</f>
        <v>366</v>
      </c>
      <c r="F14" t="s">
        <v>235</v>
      </c>
      <c r="G14" s="8">
        <v>9.6699999999999998E-3</v>
      </c>
      <c r="M14" s="5"/>
      <c r="P14" t="s">
        <v>2</v>
      </c>
      <c r="Q14" s="5">
        <f>AA20</f>
        <v>366</v>
      </c>
      <c r="T14" t="s">
        <v>235</v>
      </c>
      <c r="U14" s="8">
        <v>9.6699999999999998E-3</v>
      </c>
      <c r="AA14" s="7"/>
    </row>
    <row r="15" spans="1:34" x14ac:dyDescent="0.3">
      <c r="B15" t="s">
        <v>236</v>
      </c>
      <c r="C15" s="5">
        <f>C13/C14</f>
        <v>0.34980874316939897</v>
      </c>
      <c r="F15" t="s">
        <v>237</v>
      </c>
      <c r="G15">
        <f>22.4*10^-3</f>
        <v>2.24E-2</v>
      </c>
      <c r="M15" s="5"/>
      <c r="P15" t="s">
        <v>236</v>
      </c>
      <c r="Q15" s="9">
        <f>Q13/Q14</f>
        <v>2.0464480874316947E-4</v>
      </c>
      <c r="T15" t="s">
        <v>237</v>
      </c>
      <c r="U15">
        <f>22.4*10^-3</f>
        <v>2.24E-2</v>
      </c>
      <c r="AA15" s="7"/>
    </row>
    <row r="16" spans="1:34" x14ac:dyDescent="0.3">
      <c r="F16" s="10" t="s">
        <v>238</v>
      </c>
      <c r="G16" s="10">
        <v>12.8</v>
      </c>
      <c r="H16" t="s">
        <v>239</v>
      </c>
      <c r="I16">
        <f>G16+273</f>
        <v>285.8</v>
      </c>
      <c r="M16" s="5"/>
      <c r="T16" s="10" t="s">
        <v>238</v>
      </c>
      <c r="U16" s="10">
        <v>12.8</v>
      </c>
      <c r="V16" t="s">
        <v>239</v>
      </c>
      <c r="W16">
        <f>U16+273</f>
        <v>285.8</v>
      </c>
      <c r="AA16" s="7"/>
    </row>
    <row r="17" spans="6:27" x14ac:dyDescent="0.3">
      <c r="F17" t="s">
        <v>240</v>
      </c>
      <c r="G17">
        <v>273</v>
      </c>
      <c r="M17" s="5"/>
      <c r="T17" t="s">
        <v>240</v>
      </c>
      <c r="U17">
        <v>273</v>
      </c>
      <c r="AA17" s="7"/>
    </row>
    <row r="18" spans="6:27" x14ac:dyDescent="0.3">
      <c r="F18" t="s">
        <v>241</v>
      </c>
      <c r="G18">
        <v>3.1399999999999997E-2</v>
      </c>
      <c r="M18" s="5"/>
      <c r="T18" t="s">
        <v>241</v>
      </c>
      <c r="U18">
        <v>3.1399999999999997E-2</v>
      </c>
      <c r="AA18" s="7"/>
    </row>
    <row r="19" spans="6:27" x14ac:dyDescent="0.3">
      <c r="L19" s="14" t="s">
        <v>247</v>
      </c>
      <c r="M19" s="15" t="s">
        <v>248</v>
      </c>
      <c r="Z19" s="14" t="s">
        <v>249</v>
      </c>
      <c r="AA19" s="16" t="s">
        <v>248</v>
      </c>
    </row>
    <row r="20" spans="6:27" x14ac:dyDescent="0.3">
      <c r="F20" t="s">
        <v>242</v>
      </c>
      <c r="G20">
        <f>G17/I16</f>
        <v>0.95521343596920916</v>
      </c>
      <c r="L20">
        <f>I9-I3</f>
        <v>128.03000000000003</v>
      </c>
      <c r="M20" s="7">
        <f>AH9-AH3</f>
        <v>366</v>
      </c>
      <c r="T20" t="s">
        <v>242</v>
      </c>
      <c r="U20">
        <f>U17/W16</f>
        <v>0.95521343596920916</v>
      </c>
      <c r="Z20">
        <f>O9-O3</f>
        <v>7.4900000000000022E-2</v>
      </c>
      <c r="AA20" s="7">
        <f>AH9-AH3</f>
        <v>366</v>
      </c>
    </row>
    <row r="21" spans="6:27" x14ac:dyDescent="0.3">
      <c r="F21" t="s">
        <v>243</v>
      </c>
      <c r="G21">
        <f>1/G18</f>
        <v>31.847133757961785</v>
      </c>
      <c r="M21" s="11">
        <f>M20/60</f>
        <v>6.1</v>
      </c>
      <c r="T21" t="s">
        <v>243</v>
      </c>
      <c r="U21">
        <f>1/U18</f>
        <v>31.847133757961785</v>
      </c>
      <c r="AA21" s="11"/>
    </row>
    <row r="22" spans="6:27" x14ac:dyDescent="0.3">
      <c r="F22" t="s">
        <v>244</v>
      </c>
      <c r="G22">
        <f>G15/G20</f>
        <v>2.3450256410256411E-2</v>
      </c>
      <c r="T22" t="s">
        <v>244</v>
      </c>
      <c r="U22">
        <f>U15/U20</f>
        <v>2.3450256410256411E-2</v>
      </c>
      <c r="AA22" s="7"/>
    </row>
    <row r="23" spans="6:27" x14ac:dyDescent="0.3">
      <c r="L23" s="6">
        <f>(L20/M20)*(G14/G15)/G18</f>
        <v>4.8092734111238746</v>
      </c>
      <c r="Z23" s="6">
        <f>(Z20/AA20)*(U14/U15)/U18</f>
        <v>2.8135169764366029E-3</v>
      </c>
      <c r="AA23" s="7"/>
    </row>
    <row r="24" spans="6:27" x14ac:dyDescent="0.3">
      <c r="F24" s="10">
        <f>(G13)*(G14/G22)*(G21)</f>
        <v>4.5938825795549949</v>
      </c>
      <c r="T24" s="10">
        <f>(U13)*(U14/U22)*(U21)</f>
        <v>2.6875092182197077E-3</v>
      </c>
      <c r="AA24" s="7"/>
    </row>
    <row r="26" spans="6:27" x14ac:dyDescent="0.3">
      <c r="Y26" s="12" t="s">
        <v>245</v>
      </c>
      <c r="Z26" s="12">
        <f>Z23*298</f>
        <v>0.83842805897810768</v>
      </c>
      <c r="AA26" s="7"/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FADEA-9CA1-4C20-A52E-1C95EA068F60}">
  <dimension ref="A1:AH26"/>
  <sheetViews>
    <sheetView topLeftCell="H12" workbookViewId="0">
      <selection activeCell="Z26" sqref="Z26"/>
    </sheetView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</v>
      </c>
      <c r="K1" t="s">
        <v>7</v>
      </c>
      <c r="L1" t="s">
        <v>9</v>
      </c>
      <c r="M1" t="s">
        <v>6</v>
      </c>
      <c r="N1" t="s">
        <v>7</v>
      </c>
      <c r="O1" t="s">
        <v>10</v>
      </c>
      <c r="P1" t="s">
        <v>6</v>
      </c>
      <c r="Q1" t="s">
        <v>7</v>
      </c>
      <c r="R1" t="s">
        <v>11</v>
      </c>
      <c r="S1" t="s">
        <v>6</v>
      </c>
      <c r="T1" t="s">
        <v>7</v>
      </c>
      <c r="U1" t="s">
        <v>12</v>
      </c>
      <c r="V1" t="s">
        <v>6</v>
      </c>
      <c r="W1" t="s">
        <v>7</v>
      </c>
      <c r="X1" t="s">
        <v>13</v>
      </c>
      <c r="Y1" t="s">
        <v>6</v>
      </c>
      <c r="Z1" t="s">
        <v>7</v>
      </c>
      <c r="AA1" t="s">
        <v>14</v>
      </c>
      <c r="AB1" t="s">
        <v>6</v>
      </c>
      <c r="AC1" t="s">
        <v>7</v>
      </c>
      <c r="AD1" t="s">
        <v>15</v>
      </c>
      <c r="AE1" t="s">
        <v>6</v>
      </c>
      <c r="AF1" t="s">
        <v>7</v>
      </c>
      <c r="AG1" t="s">
        <v>16</v>
      </c>
      <c r="AH1" t="s">
        <v>246</v>
      </c>
    </row>
    <row r="2" spans="1:34" x14ac:dyDescent="0.3">
      <c r="A2">
        <v>0</v>
      </c>
      <c r="B2" s="1">
        <v>45777</v>
      </c>
      <c r="C2" s="2">
        <v>0.64166666666666672</v>
      </c>
      <c r="D2" t="s">
        <v>189</v>
      </c>
      <c r="E2" t="s">
        <v>18</v>
      </c>
      <c r="F2">
        <v>1.64</v>
      </c>
      <c r="G2" t="s">
        <v>19</v>
      </c>
      <c r="H2" t="s">
        <v>20</v>
      </c>
      <c r="I2">
        <v>524.36</v>
      </c>
      <c r="J2" t="s">
        <v>21</v>
      </c>
      <c r="K2" t="s">
        <v>20</v>
      </c>
      <c r="L2">
        <v>3.1619999999999999</v>
      </c>
      <c r="M2" t="s">
        <v>21</v>
      </c>
      <c r="N2" t="s">
        <v>20</v>
      </c>
      <c r="O2">
        <v>0.42449999999999999</v>
      </c>
      <c r="P2" t="s">
        <v>21</v>
      </c>
      <c r="Q2" t="s">
        <v>20</v>
      </c>
      <c r="R2">
        <v>0</v>
      </c>
      <c r="S2" t="s">
        <v>21</v>
      </c>
      <c r="T2" t="s">
        <v>20</v>
      </c>
      <c r="U2">
        <v>2.1120000000000001</v>
      </c>
      <c r="V2" t="s">
        <v>21</v>
      </c>
      <c r="W2" t="s">
        <v>20</v>
      </c>
      <c r="X2">
        <v>1018.7</v>
      </c>
      <c r="Y2" t="s">
        <v>22</v>
      </c>
      <c r="Z2" t="s">
        <v>23</v>
      </c>
      <c r="AA2">
        <v>48.89</v>
      </c>
      <c r="AB2" t="s">
        <v>24</v>
      </c>
      <c r="AC2" t="s">
        <v>23</v>
      </c>
      <c r="AD2">
        <v>57.2</v>
      </c>
      <c r="AE2" t="s">
        <v>24</v>
      </c>
      <c r="AF2" t="s">
        <v>23</v>
      </c>
      <c r="AG2" t="s">
        <v>25</v>
      </c>
      <c r="AH2" s="5">
        <f>HOUR(C2)*3600 + MINUTE(C2)*60 + SECOND(C2)</f>
        <v>55440</v>
      </c>
    </row>
    <row r="3" spans="1:34" x14ac:dyDescent="0.3">
      <c r="A3">
        <v>0</v>
      </c>
      <c r="B3" s="1">
        <v>45777</v>
      </c>
      <c r="C3" s="2">
        <v>0.64238425925925924</v>
      </c>
      <c r="D3" t="s">
        <v>190</v>
      </c>
      <c r="E3" t="s">
        <v>18</v>
      </c>
      <c r="F3">
        <v>1.66</v>
      </c>
      <c r="G3" t="s">
        <v>19</v>
      </c>
      <c r="H3" t="s">
        <v>20</v>
      </c>
      <c r="I3" s="14">
        <v>507.56</v>
      </c>
      <c r="J3" t="s">
        <v>21</v>
      </c>
      <c r="K3" t="s">
        <v>20</v>
      </c>
      <c r="L3">
        <v>3.133</v>
      </c>
      <c r="M3" t="s">
        <v>21</v>
      </c>
      <c r="N3" t="s">
        <v>20</v>
      </c>
      <c r="O3" s="14">
        <v>0.4083</v>
      </c>
      <c r="P3" t="s">
        <v>21</v>
      </c>
      <c r="Q3" t="s">
        <v>20</v>
      </c>
      <c r="R3">
        <v>2.8000000000000001E-2</v>
      </c>
      <c r="S3" t="s">
        <v>21</v>
      </c>
      <c r="T3" t="s">
        <v>20</v>
      </c>
      <c r="U3">
        <v>2.113</v>
      </c>
      <c r="V3" t="s">
        <v>21</v>
      </c>
      <c r="W3" t="s">
        <v>20</v>
      </c>
      <c r="X3">
        <v>1018.7</v>
      </c>
      <c r="Y3" t="s">
        <v>22</v>
      </c>
      <c r="Z3" t="s">
        <v>23</v>
      </c>
      <c r="AA3">
        <v>49.43</v>
      </c>
      <c r="AB3" t="s">
        <v>24</v>
      </c>
      <c r="AC3" t="s">
        <v>23</v>
      </c>
      <c r="AD3">
        <v>57.67</v>
      </c>
      <c r="AE3" t="s">
        <v>24</v>
      </c>
      <c r="AF3" t="s">
        <v>23</v>
      </c>
      <c r="AG3" t="s">
        <v>25</v>
      </c>
      <c r="AH3" s="5">
        <f t="shared" ref="AH3:AH10" si="0">HOUR(C3)*3600 + MINUTE(C3)*60 + SECOND(C3)</f>
        <v>55502</v>
      </c>
    </row>
    <row r="4" spans="1:34" x14ac:dyDescent="0.3">
      <c r="A4">
        <v>0</v>
      </c>
      <c r="B4" s="1">
        <v>45777</v>
      </c>
      <c r="C4" s="2">
        <v>0.64309027777777783</v>
      </c>
      <c r="D4" t="s">
        <v>191</v>
      </c>
      <c r="E4" t="s">
        <v>18</v>
      </c>
      <c r="F4">
        <v>1.75</v>
      </c>
      <c r="G4" t="s">
        <v>19</v>
      </c>
      <c r="H4" t="s">
        <v>20</v>
      </c>
      <c r="I4" s="14">
        <v>524.1</v>
      </c>
      <c r="J4" t="s">
        <v>21</v>
      </c>
      <c r="K4" t="s">
        <v>20</v>
      </c>
      <c r="L4">
        <v>3.1739999999999999</v>
      </c>
      <c r="M4" t="s">
        <v>21</v>
      </c>
      <c r="N4" t="s">
        <v>20</v>
      </c>
      <c r="O4" s="14">
        <v>0.4153</v>
      </c>
      <c r="P4" t="s">
        <v>21</v>
      </c>
      <c r="Q4" t="s">
        <v>20</v>
      </c>
      <c r="R4">
        <v>2.1000000000000001E-2</v>
      </c>
      <c r="S4" t="s">
        <v>21</v>
      </c>
      <c r="T4" t="s">
        <v>20</v>
      </c>
      <c r="U4">
        <v>2.1040000000000001</v>
      </c>
      <c r="V4" t="s">
        <v>21</v>
      </c>
      <c r="W4" t="s">
        <v>20</v>
      </c>
      <c r="X4">
        <v>1018.7</v>
      </c>
      <c r="Y4" t="s">
        <v>22</v>
      </c>
      <c r="Z4" t="s">
        <v>23</v>
      </c>
      <c r="AA4">
        <v>49.82</v>
      </c>
      <c r="AB4" t="s">
        <v>24</v>
      </c>
      <c r="AC4" t="s">
        <v>23</v>
      </c>
      <c r="AD4">
        <v>58.15</v>
      </c>
      <c r="AE4" t="s">
        <v>24</v>
      </c>
      <c r="AF4" t="s">
        <v>23</v>
      </c>
      <c r="AG4" t="s">
        <v>25</v>
      </c>
      <c r="AH4" s="5">
        <f t="shared" si="0"/>
        <v>55563</v>
      </c>
    </row>
    <row r="5" spans="1:34" x14ac:dyDescent="0.3">
      <c r="A5">
        <v>0</v>
      </c>
      <c r="B5" s="1">
        <v>45777</v>
      </c>
      <c r="C5" s="2">
        <v>0.64379629629629631</v>
      </c>
      <c r="D5" t="s">
        <v>192</v>
      </c>
      <c r="E5" t="s">
        <v>18</v>
      </c>
      <c r="F5">
        <v>1.82</v>
      </c>
      <c r="G5" t="s">
        <v>19</v>
      </c>
      <c r="H5" t="s">
        <v>20</v>
      </c>
      <c r="I5" s="14">
        <v>538.55999999999995</v>
      </c>
      <c r="J5" t="s">
        <v>21</v>
      </c>
      <c r="K5" t="s">
        <v>20</v>
      </c>
      <c r="L5">
        <v>3.1880000000000002</v>
      </c>
      <c r="M5" t="s">
        <v>21</v>
      </c>
      <c r="N5" t="s">
        <v>20</v>
      </c>
      <c r="O5" s="14">
        <v>0.42309999999999998</v>
      </c>
      <c r="P5" t="s">
        <v>21</v>
      </c>
      <c r="Q5" t="s">
        <v>20</v>
      </c>
      <c r="R5">
        <v>4.3999999999999997E-2</v>
      </c>
      <c r="S5" t="s">
        <v>21</v>
      </c>
      <c r="T5" t="s">
        <v>20</v>
      </c>
      <c r="U5">
        <v>2.121</v>
      </c>
      <c r="V5" t="s">
        <v>21</v>
      </c>
      <c r="W5" t="s">
        <v>20</v>
      </c>
      <c r="X5">
        <v>1018.9</v>
      </c>
      <c r="Y5" t="s">
        <v>22</v>
      </c>
      <c r="Z5" t="s">
        <v>23</v>
      </c>
      <c r="AA5">
        <v>50.04</v>
      </c>
      <c r="AB5" t="s">
        <v>24</v>
      </c>
      <c r="AC5" t="s">
        <v>23</v>
      </c>
      <c r="AD5">
        <v>58.4</v>
      </c>
      <c r="AE5" t="s">
        <v>24</v>
      </c>
      <c r="AF5" t="s">
        <v>23</v>
      </c>
      <c r="AG5" t="s">
        <v>25</v>
      </c>
      <c r="AH5" s="5">
        <f t="shared" si="0"/>
        <v>55624</v>
      </c>
    </row>
    <row r="6" spans="1:34" x14ac:dyDescent="0.3">
      <c r="A6">
        <v>0</v>
      </c>
      <c r="B6" s="1">
        <v>45777</v>
      </c>
      <c r="C6" s="2">
        <v>0.64450231481481479</v>
      </c>
      <c r="D6" t="s">
        <v>193</v>
      </c>
      <c r="E6" t="s">
        <v>18</v>
      </c>
      <c r="F6">
        <v>1.88</v>
      </c>
      <c r="G6" t="s">
        <v>19</v>
      </c>
      <c r="H6" t="s">
        <v>20</v>
      </c>
      <c r="I6" s="14">
        <v>554.49</v>
      </c>
      <c r="J6" t="s">
        <v>21</v>
      </c>
      <c r="K6" t="s">
        <v>20</v>
      </c>
      <c r="L6">
        <v>3.2149999999999999</v>
      </c>
      <c r="M6" t="s">
        <v>21</v>
      </c>
      <c r="N6" t="s">
        <v>20</v>
      </c>
      <c r="O6" s="14">
        <v>0.42620000000000002</v>
      </c>
      <c r="P6" t="s">
        <v>21</v>
      </c>
      <c r="Q6" t="s">
        <v>20</v>
      </c>
      <c r="R6">
        <v>0</v>
      </c>
      <c r="S6" t="s">
        <v>21</v>
      </c>
      <c r="T6" t="s">
        <v>20</v>
      </c>
      <c r="U6">
        <v>2.1179999999999999</v>
      </c>
      <c r="V6" t="s">
        <v>21</v>
      </c>
      <c r="W6" t="s">
        <v>20</v>
      </c>
      <c r="X6">
        <v>1018.8</v>
      </c>
      <c r="Y6" t="s">
        <v>22</v>
      </c>
      <c r="Z6" t="s">
        <v>23</v>
      </c>
      <c r="AA6">
        <v>50.14</v>
      </c>
      <c r="AB6" t="s">
        <v>24</v>
      </c>
      <c r="AC6" t="s">
        <v>23</v>
      </c>
      <c r="AD6">
        <v>58.6</v>
      </c>
      <c r="AE6" t="s">
        <v>24</v>
      </c>
      <c r="AF6" t="s">
        <v>23</v>
      </c>
      <c r="AG6" t="s">
        <v>25</v>
      </c>
      <c r="AH6" s="5">
        <f t="shared" si="0"/>
        <v>55685</v>
      </c>
    </row>
    <row r="7" spans="1:34" x14ac:dyDescent="0.3">
      <c r="A7">
        <v>0</v>
      </c>
      <c r="B7" s="1">
        <v>45777</v>
      </c>
      <c r="C7" s="2">
        <v>0.64520833333333338</v>
      </c>
      <c r="D7" t="s">
        <v>194</v>
      </c>
      <c r="E7" t="s">
        <v>18</v>
      </c>
      <c r="F7">
        <v>1.92</v>
      </c>
      <c r="G7" t="s">
        <v>19</v>
      </c>
      <c r="H7" t="s">
        <v>20</v>
      </c>
      <c r="I7" s="14">
        <v>569.58000000000004</v>
      </c>
      <c r="J7" t="s">
        <v>21</v>
      </c>
      <c r="K7" t="s">
        <v>20</v>
      </c>
      <c r="L7">
        <v>3.177</v>
      </c>
      <c r="M7" t="s">
        <v>21</v>
      </c>
      <c r="N7" t="s">
        <v>20</v>
      </c>
      <c r="O7" s="14">
        <v>0.43559999999999999</v>
      </c>
      <c r="P7" t="s">
        <v>21</v>
      </c>
      <c r="Q7" t="s">
        <v>20</v>
      </c>
      <c r="R7">
        <v>0.02</v>
      </c>
      <c r="S7" t="s">
        <v>21</v>
      </c>
      <c r="T7" t="s">
        <v>20</v>
      </c>
      <c r="U7">
        <v>2.1110000000000002</v>
      </c>
      <c r="V7" t="s">
        <v>21</v>
      </c>
      <c r="W7" t="s">
        <v>20</v>
      </c>
      <c r="X7">
        <v>1018.9</v>
      </c>
      <c r="Y7" t="s">
        <v>22</v>
      </c>
      <c r="Z7" t="s">
        <v>23</v>
      </c>
      <c r="AA7">
        <v>50.19</v>
      </c>
      <c r="AB7" t="s">
        <v>24</v>
      </c>
      <c r="AC7" t="s">
        <v>23</v>
      </c>
      <c r="AD7">
        <v>58.72</v>
      </c>
      <c r="AE7" t="s">
        <v>24</v>
      </c>
      <c r="AF7" t="s">
        <v>23</v>
      </c>
      <c r="AG7" t="s">
        <v>25</v>
      </c>
      <c r="AH7" s="5">
        <f t="shared" si="0"/>
        <v>55746</v>
      </c>
    </row>
    <row r="8" spans="1:34" x14ac:dyDescent="0.3">
      <c r="A8">
        <v>0</v>
      </c>
      <c r="B8" s="1">
        <v>45777</v>
      </c>
      <c r="C8" s="2">
        <v>0.64591435185185186</v>
      </c>
      <c r="D8" t="s">
        <v>195</v>
      </c>
      <c r="E8" t="s">
        <v>18</v>
      </c>
      <c r="F8">
        <v>1.95</v>
      </c>
      <c r="G8" t="s">
        <v>19</v>
      </c>
      <c r="H8" t="s">
        <v>20</v>
      </c>
      <c r="I8" s="14">
        <v>586.9</v>
      </c>
      <c r="J8" t="s">
        <v>21</v>
      </c>
      <c r="K8" t="s">
        <v>20</v>
      </c>
      <c r="L8">
        <v>3.254</v>
      </c>
      <c r="M8" t="s">
        <v>21</v>
      </c>
      <c r="N8" t="s">
        <v>20</v>
      </c>
      <c r="O8" s="14">
        <v>0.44590000000000002</v>
      </c>
      <c r="P8" t="s">
        <v>21</v>
      </c>
      <c r="Q8" t="s">
        <v>20</v>
      </c>
      <c r="R8">
        <v>0</v>
      </c>
      <c r="S8" t="s">
        <v>21</v>
      </c>
      <c r="T8" t="s">
        <v>20</v>
      </c>
      <c r="U8">
        <v>2.1139999999999999</v>
      </c>
      <c r="V8" t="s">
        <v>21</v>
      </c>
      <c r="W8" t="s">
        <v>20</v>
      </c>
      <c r="X8">
        <v>1018.8</v>
      </c>
      <c r="Y8" t="s">
        <v>22</v>
      </c>
      <c r="Z8" t="s">
        <v>23</v>
      </c>
      <c r="AA8">
        <v>50.27</v>
      </c>
      <c r="AB8" t="s">
        <v>24</v>
      </c>
      <c r="AC8" t="s">
        <v>23</v>
      </c>
      <c r="AD8">
        <v>58.8</v>
      </c>
      <c r="AE8" t="s">
        <v>24</v>
      </c>
      <c r="AF8" t="s">
        <v>23</v>
      </c>
      <c r="AG8" t="s">
        <v>25</v>
      </c>
      <c r="AH8" s="5">
        <f t="shared" si="0"/>
        <v>55807</v>
      </c>
    </row>
    <row r="9" spans="1:34" x14ac:dyDescent="0.3">
      <c r="A9">
        <v>0</v>
      </c>
      <c r="B9" s="1">
        <v>45777</v>
      </c>
      <c r="C9" s="2">
        <v>0.64662037037037035</v>
      </c>
      <c r="D9" t="s">
        <v>196</v>
      </c>
      <c r="E9" t="s">
        <v>18</v>
      </c>
      <c r="F9">
        <v>1.98</v>
      </c>
      <c r="G9" t="s">
        <v>19</v>
      </c>
      <c r="H9" t="s">
        <v>20</v>
      </c>
      <c r="I9" s="14">
        <v>603.36</v>
      </c>
      <c r="J9" t="s">
        <v>21</v>
      </c>
      <c r="K9" t="s">
        <v>20</v>
      </c>
      <c r="L9">
        <v>3.2370000000000001</v>
      </c>
      <c r="M9" t="s">
        <v>21</v>
      </c>
      <c r="N9" t="s">
        <v>20</v>
      </c>
      <c r="O9" s="14">
        <v>0.44590000000000002</v>
      </c>
      <c r="P9" t="s">
        <v>21</v>
      </c>
      <c r="Q9" t="s">
        <v>20</v>
      </c>
      <c r="R9">
        <v>3.5000000000000003E-2</v>
      </c>
      <c r="S9" t="s">
        <v>21</v>
      </c>
      <c r="T9" t="s">
        <v>20</v>
      </c>
      <c r="U9">
        <v>2.1040000000000001</v>
      </c>
      <c r="V9" t="s">
        <v>21</v>
      </c>
      <c r="W9" t="s">
        <v>20</v>
      </c>
      <c r="X9">
        <v>1018.9</v>
      </c>
      <c r="Y9" t="s">
        <v>22</v>
      </c>
      <c r="Z9" t="s">
        <v>23</v>
      </c>
      <c r="AA9">
        <v>50.21</v>
      </c>
      <c r="AB9" t="s">
        <v>24</v>
      </c>
      <c r="AC9" t="s">
        <v>23</v>
      </c>
      <c r="AD9">
        <v>58.8</v>
      </c>
      <c r="AE9" t="s">
        <v>24</v>
      </c>
      <c r="AF9" t="s">
        <v>23</v>
      </c>
      <c r="AG9" t="s">
        <v>25</v>
      </c>
      <c r="AH9" s="5">
        <f t="shared" si="0"/>
        <v>55868</v>
      </c>
    </row>
    <row r="10" spans="1:34" x14ac:dyDescent="0.3">
      <c r="A10">
        <v>0</v>
      </c>
      <c r="B10" s="1">
        <v>45777</v>
      </c>
      <c r="C10" s="2">
        <v>0.64733796296296298</v>
      </c>
      <c r="D10" t="s">
        <v>197</v>
      </c>
      <c r="E10" t="s">
        <v>18</v>
      </c>
      <c r="F10">
        <v>2.02</v>
      </c>
      <c r="G10" t="s">
        <v>19</v>
      </c>
      <c r="H10" t="s">
        <v>20</v>
      </c>
      <c r="I10" s="14">
        <v>619.66</v>
      </c>
      <c r="J10" t="s">
        <v>21</v>
      </c>
      <c r="K10" t="s">
        <v>20</v>
      </c>
      <c r="L10">
        <v>3.2749999999999999</v>
      </c>
      <c r="M10" t="s">
        <v>21</v>
      </c>
      <c r="N10" t="s">
        <v>20</v>
      </c>
      <c r="O10" s="14">
        <v>0.45469999999999999</v>
      </c>
      <c r="P10" t="s">
        <v>21</v>
      </c>
      <c r="Q10" t="s">
        <v>20</v>
      </c>
      <c r="R10">
        <v>2.8000000000000001E-2</v>
      </c>
      <c r="S10" t="s">
        <v>21</v>
      </c>
      <c r="T10" t="s">
        <v>20</v>
      </c>
      <c r="U10">
        <v>2.093</v>
      </c>
      <c r="V10" t="s">
        <v>21</v>
      </c>
      <c r="W10" t="s">
        <v>20</v>
      </c>
      <c r="X10">
        <v>1018.7</v>
      </c>
      <c r="Y10" t="s">
        <v>22</v>
      </c>
      <c r="Z10" t="s">
        <v>23</v>
      </c>
      <c r="AA10">
        <v>50.11</v>
      </c>
      <c r="AB10" t="s">
        <v>24</v>
      </c>
      <c r="AC10" t="s">
        <v>23</v>
      </c>
      <c r="AD10">
        <v>58.69</v>
      </c>
      <c r="AE10" t="s">
        <v>24</v>
      </c>
      <c r="AF10" t="s">
        <v>23</v>
      </c>
      <c r="AG10" t="s">
        <v>25</v>
      </c>
      <c r="AH10" s="5">
        <f t="shared" si="0"/>
        <v>55930</v>
      </c>
    </row>
    <row r="12" spans="1:34" ht="23.4" x14ac:dyDescent="0.45">
      <c r="A12" s="3" t="s">
        <v>231</v>
      </c>
      <c r="O12" s="4" t="s">
        <v>232</v>
      </c>
    </row>
    <row r="13" spans="1:34" x14ac:dyDescent="0.3">
      <c r="B13" t="s">
        <v>233</v>
      </c>
      <c r="C13">
        <f>L20</f>
        <v>112.09999999999997</v>
      </c>
      <c r="F13" t="s">
        <v>234</v>
      </c>
      <c r="G13" s="5">
        <f>C15</f>
        <v>0.26191588785046721</v>
      </c>
      <c r="M13" s="5"/>
      <c r="P13" t="s">
        <v>233</v>
      </c>
      <c r="Q13">
        <f>Z20</f>
        <v>4.6399999999999997E-2</v>
      </c>
      <c r="T13" t="s">
        <v>234</v>
      </c>
      <c r="U13" s="5">
        <f>Q15</f>
        <v>1.0841121495327102E-4</v>
      </c>
      <c r="AA13" s="7"/>
    </row>
    <row r="14" spans="1:34" x14ac:dyDescent="0.3">
      <c r="B14" t="s">
        <v>2</v>
      </c>
      <c r="C14" s="5">
        <f>M20</f>
        <v>428</v>
      </c>
      <c r="F14" t="s">
        <v>235</v>
      </c>
      <c r="G14" s="8">
        <v>9.6699999999999998E-3</v>
      </c>
      <c r="M14" s="5"/>
      <c r="P14" t="s">
        <v>2</v>
      </c>
      <c r="Q14" s="5">
        <f>AA20</f>
        <v>428</v>
      </c>
      <c r="T14" t="s">
        <v>235</v>
      </c>
      <c r="U14" s="8">
        <v>9.6699999999999998E-3</v>
      </c>
      <c r="AA14" s="7"/>
    </row>
    <row r="15" spans="1:34" x14ac:dyDescent="0.3">
      <c r="B15" t="s">
        <v>236</v>
      </c>
      <c r="C15" s="5">
        <f>C13/C14</f>
        <v>0.26191588785046721</v>
      </c>
      <c r="F15" t="s">
        <v>237</v>
      </c>
      <c r="G15">
        <f>22.4*10^-3</f>
        <v>2.24E-2</v>
      </c>
      <c r="M15" s="5"/>
      <c r="P15" t="s">
        <v>236</v>
      </c>
      <c r="Q15" s="9">
        <f>Q13/Q14</f>
        <v>1.0841121495327102E-4</v>
      </c>
      <c r="T15" t="s">
        <v>237</v>
      </c>
      <c r="U15">
        <f>22.4*10^-3</f>
        <v>2.24E-2</v>
      </c>
      <c r="AA15" s="7"/>
    </row>
    <row r="16" spans="1:34" x14ac:dyDescent="0.3">
      <c r="F16" s="10" t="s">
        <v>238</v>
      </c>
      <c r="G16" s="10">
        <v>12.8</v>
      </c>
      <c r="H16" t="s">
        <v>239</v>
      </c>
      <c r="I16">
        <f>G16+273</f>
        <v>285.8</v>
      </c>
      <c r="M16" s="5"/>
      <c r="T16" s="10" t="s">
        <v>238</v>
      </c>
      <c r="U16" s="10">
        <v>12.8</v>
      </c>
      <c r="V16" t="s">
        <v>239</v>
      </c>
      <c r="W16">
        <f>U16+273</f>
        <v>285.8</v>
      </c>
      <c r="AA16" s="7"/>
    </row>
    <row r="17" spans="6:27" x14ac:dyDescent="0.3">
      <c r="F17" t="s">
        <v>240</v>
      </c>
      <c r="G17">
        <v>273</v>
      </c>
      <c r="M17" s="5"/>
      <c r="T17" t="s">
        <v>240</v>
      </c>
      <c r="U17">
        <v>273</v>
      </c>
      <c r="AA17" s="7"/>
    </row>
    <row r="18" spans="6:27" x14ac:dyDescent="0.3">
      <c r="F18" t="s">
        <v>241</v>
      </c>
      <c r="G18">
        <v>3.1399999999999997E-2</v>
      </c>
      <c r="M18" s="5"/>
      <c r="T18" t="s">
        <v>241</v>
      </c>
      <c r="U18">
        <v>3.1399999999999997E-2</v>
      </c>
      <c r="AA18" s="7"/>
    </row>
    <row r="19" spans="6:27" x14ac:dyDescent="0.3">
      <c r="L19" s="14" t="s">
        <v>247</v>
      </c>
      <c r="M19" s="15" t="s">
        <v>248</v>
      </c>
      <c r="Z19" s="14" t="s">
        <v>249</v>
      </c>
      <c r="AA19" s="16" t="s">
        <v>248</v>
      </c>
    </row>
    <row r="20" spans="6:27" x14ac:dyDescent="0.3">
      <c r="F20" t="s">
        <v>242</v>
      </c>
      <c r="G20">
        <f>G17/I16</f>
        <v>0.95521343596920916</v>
      </c>
      <c r="L20">
        <f>I10-I3</f>
        <v>112.09999999999997</v>
      </c>
      <c r="M20" s="7">
        <f>AH10-AH3</f>
        <v>428</v>
      </c>
      <c r="T20" t="s">
        <v>242</v>
      </c>
      <c r="U20">
        <f>U17/W16</f>
        <v>0.95521343596920916</v>
      </c>
      <c r="Z20">
        <f>O10-O3</f>
        <v>4.6399999999999997E-2</v>
      </c>
      <c r="AA20" s="7">
        <f>AH10-AH3</f>
        <v>428</v>
      </c>
    </row>
    <row r="21" spans="6:27" x14ac:dyDescent="0.3">
      <c r="F21" t="s">
        <v>243</v>
      </c>
      <c r="G21">
        <f>1/G18</f>
        <v>31.847133757961785</v>
      </c>
      <c r="M21" s="11">
        <f>M20/60</f>
        <v>7.1333333333333337</v>
      </c>
      <c r="T21" t="s">
        <v>243</v>
      </c>
      <c r="U21">
        <f>1/U18</f>
        <v>31.847133757961785</v>
      </c>
      <c r="AA21" s="11"/>
    </row>
    <row r="22" spans="6:27" x14ac:dyDescent="0.3">
      <c r="F22" t="s">
        <v>244</v>
      </c>
      <c r="G22">
        <f>G15/G20</f>
        <v>2.3450256410256411E-2</v>
      </c>
      <c r="T22" t="s">
        <v>244</v>
      </c>
      <c r="U22">
        <f>U15/U20</f>
        <v>2.3450256410256411E-2</v>
      </c>
      <c r="AA22" s="7"/>
    </row>
    <row r="23" spans="6:27" x14ac:dyDescent="0.3">
      <c r="L23" s="6">
        <f>(L20/M20)*(G14/G15)/G18</f>
        <v>3.6008966041771187</v>
      </c>
      <c r="Z23" s="6">
        <f>(Z20/AA20)*(U14/U15)/U18</f>
        <v>1.4904692456183617E-3</v>
      </c>
      <c r="AA23" s="7"/>
    </row>
    <row r="24" spans="6:27" x14ac:dyDescent="0.3">
      <c r="F24" s="10">
        <f>(G13)*(G14/G22)*(G21)</f>
        <v>3.4396248178458824</v>
      </c>
      <c r="T24" s="10">
        <f>(U13)*(U14/U22)*(U21)</f>
        <v>1.4237162493135503E-3</v>
      </c>
      <c r="AA24" s="7"/>
    </row>
    <row r="26" spans="6:27" x14ac:dyDescent="0.3">
      <c r="Y26" s="12" t="s">
        <v>245</v>
      </c>
      <c r="Z26" s="12">
        <f>Z23*298</f>
        <v>0.44415983519427177</v>
      </c>
      <c r="AA26" s="7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11D5B-C680-488F-B63B-D1C28D4121CE}">
  <dimension ref="A1:AH27"/>
  <sheetViews>
    <sheetView topLeftCell="D15" workbookViewId="0">
      <selection activeCell="Z27" sqref="Z27"/>
    </sheetView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</v>
      </c>
      <c r="K1" t="s">
        <v>7</v>
      </c>
      <c r="L1" t="s">
        <v>9</v>
      </c>
      <c r="M1" t="s">
        <v>6</v>
      </c>
      <c r="N1" t="s">
        <v>7</v>
      </c>
      <c r="O1" t="s">
        <v>10</v>
      </c>
      <c r="P1" t="s">
        <v>6</v>
      </c>
      <c r="Q1" t="s">
        <v>7</v>
      </c>
      <c r="R1" t="s">
        <v>11</v>
      </c>
      <c r="S1" t="s">
        <v>6</v>
      </c>
      <c r="T1" t="s">
        <v>7</v>
      </c>
      <c r="U1" t="s">
        <v>12</v>
      </c>
      <c r="V1" t="s">
        <v>6</v>
      </c>
      <c r="W1" t="s">
        <v>7</v>
      </c>
      <c r="X1" t="s">
        <v>13</v>
      </c>
      <c r="Y1" t="s">
        <v>6</v>
      </c>
      <c r="Z1" t="s">
        <v>7</v>
      </c>
      <c r="AA1" t="s">
        <v>14</v>
      </c>
      <c r="AB1" t="s">
        <v>6</v>
      </c>
      <c r="AC1" t="s">
        <v>7</v>
      </c>
      <c r="AD1" t="s">
        <v>15</v>
      </c>
      <c r="AE1" t="s">
        <v>6</v>
      </c>
      <c r="AF1" t="s">
        <v>7</v>
      </c>
      <c r="AG1" t="s">
        <v>16</v>
      </c>
      <c r="AH1" t="s">
        <v>251</v>
      </c>
    </row>
    <row r="2" spans="1:34" x14ac:dyDescent="0.3">
      <c r="A2">
        <v>0</v>
      </c>
      <c r="B2" s="1">
        <v>45777</v>
      </c>
      <c r="C2" s="2">
        <v>0.64936342592592589</v>
      </c>
      <c r="D2" t="s">
        <v>198</v>
      </c>
      <c r="E2" t="s">
        <v>18</v>
      </c>
      <c r="F2">
        <v>1.75</v>
      </c>
      <c r="G2" t="s">
        <v>19</v>
      </c>
      <c r="H2" t="s">
        <v>20</v>
      </c>
      <c r="I2">
        <v>504.98</v>
      </c>
      <c r="J2" t="s">
        <v>21</v>
      </c>
      <c r="K2" t="s">
        <v>20</v>
      </c>
      <c r="L2">
        <v>3.3220000000000001</v>
      </c>
      <c r="M2" t="s">
        <v>21</v>
      </c>
      <c r="N2" t="s">
        <v>20</v>
      </c>
      <c r="O2">
        <v>0.41899999999999998</v>
      </c>
      <c r="P2" t="s">
        <v>21</v>
      </c>
      <c r="Q2" t="s">
        <v>20</v>
      </c>
      <c r="R2">
        <v>5.0000000000000001E-3</v>
      </c>
      <c r="S2" t="s">
        <v>21</v>
      </c>
      <c r="T2" t="s">
        <v>20</v>
      </c>
      <c r="U2">
        <v>2.101</v>
      </c>
      <c r="V2" t="s">
        <v>21</v>
      </c>
      <c r="W2" t="s">
        <v>20</v>
      </c>
      <c r="X2">
        <v>1018.8</v>
      </c>
      <c r="Y2" t="s">
        <v>22</v>
      </c>
      <c r="Z2" t="s">
        <v>23</v>
      </c>
      <c r="AA2">
        <v>49.98</v>
      </c>
      <c r="AB2" t="s">
        <v>24</v>
      </c>
      <c r="AC2" t="s">
        <v>23</v>
      </c>
      <c r="AD2">
        <v>58.45</v>
      </c>
      <c r="AE2" t="s">
        <v>24</v>
      </c>
      <c r="AF2" t="s">
        <v>23</v>
      </c>
      <c r="AG2" t="s">
        <v>25</v>
      </c>
      <c r="AH2" s="5">
        <f>HOUR(C2)*3600 + MINUTE(C2)*60 + SECOND(C2)</f>
        <v>56105</v>
      </c>
    </row>
    <row r="3" spans="1:34" x14ac:dyDescent="0.3">
      <c r="A3">
        <v>0</v>
      </c>
      <c r="B3" s="1">
        <v>45777</v>
      </c>
      <c r="C3" s="2">
        <v>0.65006944444444448</v>
      </c>
      <c r="D3" t="s">
        <v>199</v>
      </c>
      <c r="E3" t="s">
        <v>18</v>
      </c>
      <c r="F3">
        <v>1.76</v>
      </c>
      <c r="G3" t="s">
        <v>19</v>
      </c>
      <c r="H3" t="s">
        <v>20</v>
      </c>
      <c r="I3" s="14">
        <v>497.11</v>
      </c>
      <c r="J3" t="s">
        <v>21</v>
      </c>
      <c r="K3" t="s">
        <v>20</v>
      </c>
      <c r="L3">
        <v>3.339</v>
      </c>
      <c r="M3" t="s">
        <v>21</v>
      </c>
      <c r="N3" t="s">
        <v>20</v>
      </c>
      <c r="O3" s="14">
        <v>0.42970000000000003</v>
      </c>
      <c r="P3" t="s">
        <v>21</v>
      </c>
      <c r="Q3" t="s">
        <v>20</v>
      </c>
      <c r="R3">
        <v>1.2E-2</v>
      </c>
      <c r="S3" t="s">
        <v>21</v>
      </c>
      <c r="T3" t="s">
        <v>20</v>
      </c>
      <c r="U3">
        <v>2.1190000000000002</v>
      </c>
      <c r="V3" t="s">
        <v>21</v>
      </c>
      <c r="W3" t="s">
        <v>20</v>
      </c>
      <c r="X3">
        <v>1018.8</v>
      </c>
      <c r="Y3" t="s">
        <v>22</v>
      </c>
      <c r="Z3" t="s">
        <v>23</v>
      </c>
      <c r="AA3">
        <v>49.91</v>
      </c>
      <c r="AB3" t="s">
        <v>24</v>
      </c>
      <c r="AC3" t="s">
        <v>23</v>
      </c>
      <c r="AD3">
        <v>58.4</v>
      </c>
      <c r="AE3" t="s">
        <v>24</v>
      </c>
      <c r="AF3" t="s">
        <v>23</v>
      </c>
      <c r="AG3" t="s">
        <v>25</v>
      </c>
      <c r="AH3" s="5">
        <f t="shared" ref="AH3:AH10" si="0">HOUR(C3)*3600 + MINUTE(C3)*60 + SECOND(C3)</f>
        <v>56166</v>
      </c>
    </row>
    <row r="4" spans="1:34" x14ac:dyDescent="0.3">
      <c r="A4">
        <v>0</v>
      </c>
      <c r="B4" s="1">
        <v>45777</v>
      </c>
      <c r="C4" s="2">
        <v>0.65077546296296296</v>
      </c>
      <c r="D4" t="s">
        <v>200</v>
      </c>
      <c r="E4" t="s">
        <v>18</v>
      </c>
      <c r="F4">
        <v>1.85</v>
      </c>
      <c r="G4" t="s">
        <v>19</v>
      </c>
      <c r="H4" t="s">
        <v>20</v>
      </c>
      <c r="I4" s="14">
        <v>521.91</v>
      </c>
      <c r="J4" t="s">
        <v>21</v>
      </c>
      <c r="K4" t="s">
        <v>20</v>
      </c>
      <c r="L4">
        <v>3.3460000000000001</v>
      </c>
      <c r="M4" t="s">
        <v>21</v>
      </c>
      <c r="N4" t="s">
        <v>20</v>
      </c>
      <c r="O4" s="14">
        <v>0.4461</v>
      </c>
      <c r="P4" t="s">
        <v>21</v>
      </c>
      <c r="Q4" t="s">
        <v>20</v>
      </c>
      <c r="R4">
        <v>5.8000000000000003E-2</v>
      </c>
      <c r="S4" t="s">
        <v>21</v>
      </c>
      <c r="T4" t="s">
        <v>20</v>
      </c>
      <c r="U4">
        <v>2.125</v>
      </c>
      <c r="V4" t="s">
        <v>21</v>
      </c>
      <c r="W4" t="s">
        <v>20</v>
      </c>
      <c r="X4">
        <v>1018.8</v>
      </c>
      <c r="Y4" t="s">
        <v>22</v>
      </c>
      <c r="Z4" t="s">
        <v>23</v>
      </c>
      <c r="AA4">
        <v>49.97</v>
      </c>
      <c r="AB4" t="s">
        <v>24</v>
      </c>
      <c r="AC4" t="s">
        <v>23</v>
      </c>
      <c r="AD4">
        <v>58.3</v>
      </c>
      <c r="AE4" t="s">
        <v>24</v>
      </c>
      <c r="AF4" t="s">
        <v>23</v>
      </c>
      <c r="AG4" t="s">
        <v>25</v>
      </c>
      <c r="AH4" s="5">
        <f t="shared" si="0"/>
        <v>56227</v>
      </c>
    </row>
    <row r="5" spans="1:34" x14ac:dyDescent="0.3">
      <c r="A5">
        <v>0</v>
      </c>
      <c r="B5" s="1">
        <v>45777</v>
      </c>
      <c r="C5" s="2">
        <v>0.65148148148148144</v>
      </c>
      <c r="D5" t="s">
        <v>201</v>
      </c>
      <c r="E5" t="s">
        <v>18</v>
      </c>
      <c r="F5">
        <v>1.91</v>
      </c>
      <c r="G5" t="s">
        <v>19</v>
      </c>
      <c r="H5" t="s">
        <v>20</v>
      </c>
      <c r="I5" s="14">
        <v>547.94000000000005</v>
      </c>
      <c r="J5" t="s">
        <v>21</v>
      </c>
      <c r="K5" t="s">
        <v>20</v>
      </c>
      <c r="L5">
        <v>3.3780000000000001</v>
      </c>
      <c r="M5" t="s">
        <v>21</v>
      </c>
      <c r="N5" t="s">
        <v>20</v>
      </c>
      <c r="O5" s="14">
        <v>0.46689999999999998</v>
      </c>
      <c r="P5" t="s">
        <v>21</v>
      </c>
      <c r="Q5" t="s">
        <v>20</v>
      </c>
      <c r="R5">
        <v>0</v>
      </c>
      <c r="S5" t="s">
        <v>21</v>
      </c>
      <c r="T5" t="s">
        <v>20</v>
      </c>
      <c r="U5">
        <v>2.1339999999999999</v>
      </c>
      <c r="V5" t="s">
        <v>21</v>
      </c>
      <c r="W5" t="s">
        <v>20</v>
      </c>
      <c r="X5">
        <v>1018.8</v>
      </c>
      <c r="Y5" t="s">
        <v>22</v>
      </c>
      <c r="Z5" t="s">
        <v>23</v>
      </c>
      <c r="AA5">
        <v>49.96</v>
      </c>
      <c r="AB5" t="s">
        <v>24</v>
      </c>
      <c r="AC5" t="s">
        <v>23</v>
      </c>
      <c r="AD5">
        <v>58.38</v>
      </c>
      <c r="AE5" t="s">
        <v>24</v>
      </c>
      <c r="AF5" t="s">
        <v>23</v>
      </c>
      <c r="AG5" t="s">
        <v>25</v>
      </c>
      <c r="AH5" s="5">
        <f t="shared" si="0"/>
        <v>56288</v>
      </c>
    </row>
    <row r="6" spans="1:34" x14ac:dyDescent="0.3">
      <c r="A6">
        <v>0</v>
      </c>
      <c r="B6" s="1">
        <v>45777</v>
      </c>
      <c r="C6" s="2">
        <v>0.65218750000000003</v>
      </c>
      <c r="D6" t="s">
        <v>202</v>
      </c>
      <c r="E6" t="s">
        <v>18</v>
      </c>
      <c r="F6">
        <v>1.96</v>
      </c>
      <c r="G6" t="s">
        <v>19</v>
      </c>
      <c r="H6" t="s">
        <v>20</v>
      </c>
      <c r="I6" s="14">
        <v>571.44000000000005</v>
      </c>
      <c r="J6" t="s">
        <v>21</v>
      </c>
      <c r="K6" t="s">
        <v>20</v>
      </c>
      <c r="L6">
        <v>3.3919999999999999</v>
      </c>
      <c r="M6" t="s">
        <v>21</v>
      </c>
      <c r="N6" t="s">
        <v>20</v>
      </c>
      <c r="O6" s="14">
        <v>0.47489999999999999</v>
      </c>
      <c r="P6" t="s">
        <v>21</v>
      </c>
      <c r="Q6" t="s">
        <v>20</v>
      </c>
      <c r="R6">
        <v>0.06</v>
      </c>
      <c r="S6" t="s">
        <v>21</v>
      </c>
      <c r="T6" t="s">
        <v>20</v>
      </c>
      <c r="U6">
        <v>2.0950000000000002</v>
      </c>
      <c r="V6" t="s">
        <v>21</v>
      </c>
      <c r="W6" t="s">
        <v>20</v>
      </c>
      <c r="X6">
        <v>1018.8</v>
      </c>
      <c r="Y6" t="s">
        <v>22</v>
      </c>
      <c r="Z6" t="s">
        <v>23</v>
      </c>
      <c r="AA6">
        <v>50.08</v>
      </c>
      <c r="AB6" t="s">
        <v>24</v>
      </c>
      <c r="AC6" t="s">
        <v>23</v>
      </c>
      <c r="AD6">
        <v>58.45</v>
      </c>
      <c r="AE6" t="s">
        <v>24</v>
      </c>
      <c r="AF6" t="s">
        <v>23</v>
      </c>
      <c r="AG6" t="s">
        <v>25</v>
      </c>
      <c r="AH6" s="5">
        <f t="shared" si="0"/>
        <v>56349</v>
      </c>
    </row>
    <row r="7" spans="1:34" x14ac:dyDescent="0.3">
      <c r="A7">
        <v>0</v>
      </c>
      <c r="B7" s="1">
        <v>45777</v>
      </c>
      <c r="C7" s="2">
        <v>0.65289351851851851</v>
      </c>
      <c r="D7" t="s">
        <v>203</v>
      </c>
      <c r="E7" t="s">
        <v>18</v>
      </c>
      <c r="F7">
        <v>2.0299999999999998</v>
      </c>
      <c r="G7" t="s">
        <v>19</v>
      </c>
      <c r="H7" t="s">
        <v>20</v>
      </c>
      <c r="I7" s="14">
        <v>590.16</v>
      </c>
      <c r="J7" t="s">
        <v>21</v>
      </c>
      <c r="K7" t="s">
        <v>20</v>
      </c>
      <c r="L7">
        <v>3.39</v>
      </c>
      <c r="M7" t="s">
        <v>21</v>
      </c>
      <c r="N7" t="s">
        <v>20</v>
      </c>
      <c r="O7" s="14">
        <v>0.48449999999999999</v>
      </c>
      <c r="P7" t="s">
        <v>21</v>
      </c>
      <c r="Q7" t="s">
        <v>20</v>
      </c>
      <c r="R7">
        <v>2.9000000000000001E-2</v>
      </c>
      <c r="S7" t="s">
        <v>21</v>
      </c>
      <c r="T7" t="s">
        <v>20</v>
      </c>
      <c r="U7">
        <v>2.1219999999999999</v>
      </c>
      <c r="V7" t="s">
        <v>21</v>
      </c>
      <c r="W7" t="s">
        <v>20</v>
      </c>
      <c r="X7">
        <v>1018.8</v>
      </c>
      <c r="Y7" t="s">
        <v>22</v>
      </c>
      <c r="Z7" t="s">
        <v>23</v>
      </c>
      <c r="AA7">
        <v>50.12</v>
      </c>
      <c r="AB7" t="s">
        <v>24</v>
      </c>
      <c r="AC7" t="s">
        <v>23</v>
      </c>
      <c r="AD7">
        <v>58.5</v>
      </c>
      <c r="AE7" t="s">
        <v>24</v>
      </c>
      <c r="AF7" t="s">
        <v>23</v>
      </c>
      <c r="AG7" t="s">
        <v>25</v>
      </c>
      <c r="AH7" s="5">
        <f t="shared" si="0"/>
        <v>56410</v>
      </c>
    </row>
    <row r="8" spans="1:34" x14ac:dyDescent="0.3">
      <c r="A8">
        <v>0</v>
      </c>
      <c r="B8" s="1">
        <v>45777</v>
      </c>
      <c r="C8" s="2">
        <v>0.65361111111111114</v>
      </c>
      <c r="D8" t="s">
        <v>204</v>
      </c>
      <c r="E8" t="s">
        <v>18</v>
      </c>
      <c r="F8">
        <v>2.08</v>
      </c>
      <c r="G8" t="s">
        <v>19</v>
      </c>
      <c r="H8" t="s">
        <v>20</v>
      </c>
      <c r="I8" s="14">
        <v>613.12</v>
      </c>
      <c r="J8" t="s">
        <v>21</v>
      </c>
      <c r="K8" t="s">
        <v>20</v>
      </c>
      <c r="L8">
        <v>3.4529999999999998</v>
      </c>
      <c r="M8" t="s">
        <v>21</v>
      </c>
      <c r="N8" t="s">
        <v>20</v>
      </c>
      <c r="O8" s="14">
        <v>0.50390000000000001</v>
      </c>
      <c r="P8" t="s">
        <v>21</v>
      </c>
      <c r="Q8" t="s">
        <v>20</v>
      </c>
      <c r="R8">
        <v>4.0000000000000001E-3</v>
      </c>
      <c r="S8" t="s">
        <v>21</v>
      </c>
      <c r="T8" t="s">
        <v>20</v>
      </c>
      <c r="U8">
        <v>2.1080000000000001</v>
      </c>
      <c r="V8" t="s">
        <v>21</v>
      </c>
      <c r="W8" t="s">
        <v>20</v>
      </c>
      <c r="X8">
        <v>1018.7</v>
      </c>
      <c r="Y8" t="s">
        <v>22</v>
      </c>
      <c r="Z8" t="s">
        <v>23</v>
      </c>
      <c r="AA8">
        <v>50.23</v>
      </c>
      <c r="AB8" t="s">
        <v>24</v>
      </c>
      <c r="AC8" t="s">
        <v>23</v>
      </c>
      <c r="AD8">
        <v>58.55</v>
      </c>
      <c r="AE8" t="s">
        <v>24</v>
      </c>
      <c r="AF8" t="s">
        <v>23</v>
      </c>
      <c r="AG8" t="s">
        <v>25</v>
      </c>
      <c r="AH8" s="5">
        <f t="shared" si="0"/>
        <v>56472</v>
      </c>
    </row>
    <row r="9" spans="1:34" x14ac:dyDescent="0.3">
      <c r="A9">
        <v>0</v>
      </c>
      <c r="B9" s="1">
        <v>45777</v>
      </c>
      <c r="C9" s="2">
        <v>0.65431712962962962</v>
      </c>
      <c r="D9" t="s">
        <v>205</v>
      </c>
      <c r="E9" t="s">
        <v>18</v>
      </c>
      <c r="F9">
        <v>2.13</v>
      </c>
      <c r="G9" t="s">
        <v>19</v>
      </c>
      <c r="H9" t="s">
        <v>20</v>
      </c>
      <c r="I9" s="14">
        <v>634.12</v>
      </c>
      <c r="J9" t="s">
        <v>21</v>
      </c>
      <c r="K9" t="s">
        <v>20</v>
      </c>
      <c r="L9">
        <v>3.476</v>
      </c>
      <c r="M9" t="s">
        <v>21</v>
      </c>
      <c r="N9" t="s">
        <v>20</v>
      </c>
      <c r="O9" s="14">
        <v>0.51480000000000004</v>
      </c>
      <c r="P9" t="s">
        <v>21</v>
      </c>
      <c r="Q9" t="s">
        <v>20</v>
      </c>
      <c r="R9">
        <v>1.9E-2</v>
      </c>
      <c r="S9" t="s">
        <v>21</v>
      </c>
      <c r="T9" t="s">
        <v>20</v>
      </c>
      <c r="U9">
        <v>2.12</v>
      </c>
      <c r="V9" t="s">
        <v>21</v>
      </c>
      <c r="W9" t="s">
        <v>20</v>
      </c>
      <c r="X9">
        <v>1018.8</v>
      </c>
      <c r="Y9" t="s">
        <v>22</v>
      </c>
      <c r="Z9" t="s">
        <v>23</v>
      </c>
      <c r="AA9">
        <v>50.37</v>
      </c>
      <c r="AB9" t="s">
        <v>24</v>
      </c>
      <c r="AC9" t="s">
        <v>23</v>
      </c>
      <c r="AD9">
        <v>58.73</v>
      </c>
      <c r="AE9" t="s">
        <v>24</v>
      </c>
      <c r="AF9" t="s">
        <v>23</v>
      </c>
      <c r="AG9" t="s">
        <v>25</v>
      </c>
      <c r="AH9" s="5">
        <f t="shared" si="0"/>
        <v>56533</v>
      </c>
    </row>
    <row r="10" spans="1:34" x14ac:dyDescent="0.3">
      <c r="A10">
        <v>0</v>
      </c>
      <c r="B10" s="1">
        <v>45777</v>
      </c>
      <c r="C10" s="2">
        <v>0.6550231481481481</v>
      </c>
      <c r="D10" t="s">
        <v>206</v>
      </c>
      <c r="E10" t="s">
        <v>18</v>
      </c>
      <c r="F10">
        <v>2.19</v>
      </c>
      <c r="G10" t="s">
        <v>19</v>
      </c>
      <c r="H10" t="s">
        <v>20</v>
      </c>
      <c r="I10" s="14">
        <v>652.1</v>
      </c>
      <c r="J10" t="s">
        <v>21</v>
      </c>
      <c r="K10" t="s">
        <v>20</v>
      </c>
      <c r="L10">
        <v>3.4870000000000001</v>
      </c>
      <c r="M10" t="s">
        <v>21</v>
      </c>
      <c r="N10" t="s">
        <v>20</v>
      </c>
      <c r="O10" s="14">
        <v>0.52370000000000005</v>
      </c>
      <c r="P10" t="s">
        <v>21</v>
      </c>
      <c r="Q10" t="s">
        <v>20</v>
      </c>
      <c r="R10">
        <v>0.03</v>
      </c>
      <c r="S10" t="s">
        <v>21</v>
      </c>
      <c r="T10" t="s">
        <v>20</v>
      </c>
      <c r="U10">
        <v>2.1259999999999999</v>
      </c>
      <c r="V10" t="s">
        <v>21</v>
      </c>
      <c r="W10" t="s">
        <v>20</v>
      </c>
      <c r="X10">
        <v>1018.7</v>
      </c>
      <c r="Y10" t="s">
        <v>22</v>
      </c>
      <c r="Z10" t="s">
        <v>23</v>
      </c>
      <c r="AA10">
        <v>50.51</v>
      </c>
      <c r="AB10" t="s">
        <v>24</v>
      </c>
      <c r="AC10" t="s">
        <v>23</v>
      </c>
      <c r="AD10">
        <v>58.95</v>
      </c>
      <c r="AE10" t="s">
        <v>24</v>
      </c>
      <c r="AF10" t="s">
        <v>23</v>
      </c>
      <c r="AG10" t="s">
        <v>25</v>
      </c>
      <c r="AH10" s="5">
        <f t="shared" si="0"/>
        <v>56594</v>
      </c>
    </row>
    <row r="13" spans="1:34" ht="23.4" x14ac:dyDescent="0.45">
      <c r="A13" s="3" t="s">
        <v>231</v>
      </c>
      <c r="O13" s="4" t="s">
        <v>232</v>
      </c>
    </row>
    <row r="14" spans="1:34" x14ac:dyDescent="0.3">
      <c r="B14" t="s">
        <v>233</v>
      </c>
      <c r="C14">
        <f>L21</f>
        <v>154.99</v>
      </c>
      <c r="F14" t="s">
        <v>234</v>
      </c>
      <c r="G14" s="5">
        <f>C16</f>
        <v>0.42231607629427798</v>
      </c>
      <c r="M14" s="5"/>
      <c r="P14" t="s">
        <v>233</v>
      </c>
      <c r="Q14">
        <f>Z21</f>
        <v>9.4000000000000028E-2</v>
      </c>
      <c r="T14" t="s">
        <v>234</v>
      </c>
      <c r="U14" s="5">
        <f>Q16</f>
        <v>2.1962616822429913E-4</v>
      </c>
      <c r="AA14" s="7"/>
    </row>
    <row r="15" spans="1:34" x14ac:dyDescent="0.3">
      <c r="B15" t="s">
        <v>2</v>
      </c>
      <c r="C15" s="5">
        <f>M21</f>
        <v>367</v>
      </c>
      <c r="F15" t="s">
        <v>235</v>
      </c>
      <c r="G15" s="8">
        <v>9.6699999999999998E-3</v>
      </c>
      <c r="M15" s="5"/>
      <c r="P15" t="s">
        <v>2</v>
      </c>
      <c r="Q15" s="5">
        <f>AA21</f>
        <v>428</v>
      </c>
      <c r="T15" t="s">
        <v>235</v>
      </c>
      <c r="U15" s="8">
        <v>9.6699999999999998E-3</v>
      </c>
      <c r="AA15" s="7"/>
    </row>
    <row r="16" spans="1:34" x14ac:dyDescent="0.3">
      <c r="B16" t="s">
        <v>236</v>
      </c>
      <c r="C16" s="5">
        <f>C14/C15</f>
        <v>0.42231607629427798</v>
      </c>
      <c r="F16" t="s">
        <v>237</v>
      </c>
      <c r="G16">
        <f>22.4*10^-3</f>
        <v>2.24E-2</v>
      </c>
      <c r="M16" s="5"/>
      <c r="P16" t="s">
        <v>236</v>
      </c>
      <c r="Q16" s="9">
        <f>Q14/Q15</f>
        <v>2.1962616822429913E-4</v>
      </c>
      <c r="T16" t="s">
        <v>237</v>
      </c>
      <c r="U16">
        <f>22.4*10^-3</f>
        <v>2.24E-2</v>
      </c>
      <c r="AA16" s="7"/>
    </row>
    <row r="17" spans="6:27" x14ac:dyDescent="0.3">
      <c r="F17" s="10" t="s">
        <v>238</v>
      </c>
      <c r="G17" s="10">
        <v>12.8</v>
      </c>
      <c r="H17" t="s">
        <v>239</v>
      </c>
      <c r="I17">
        <f>G17+273</f>
        <v>285.8</v>
      </c>
      <c r="M17" s="5"/>
      <c r="T17" s="10" t="s">
        <v>238</v>
      </c>
      <c r="U17" s="10">
        <v>12.8</v>
      </c>
      <c r="V17" t="s">
        <v>239</v>
      </c>
      <c r="W17">
        <f>U17+273</f>
        <v>285.8</v>
      </c>
      <c r="AA17" s="7"/>
    </row>
    <row r="18" spans="6:27" x14ac:dyDescent="0.3">
      <c r="F18" t="s">
        <v>240</v>
      </c>
      <c r="G18">
        <v>273</v>
      </c>
      <c r="M18" s="5"/>
      <c r="T18" t="s">
        <v>240</v>
      </c>
      <c r="U18">
        <v>273</v>
      </c>
      <c r="AA18" s="7"/>
    </row>
    <row r="19" spans="6:27" x14ac:dyDescent="0.3">
      <c r="F19" t="s">
        <v>241</v>
      </c>
      <c r="G19">
        <v>3.1399999999999997E-2</v>
      </c>
      <c r="M19" s="5"/>
      <c r="T19" t="s">
        <v>241</v>
      </c>
      <c r="U19">
        <v>3.1399999999999997E-2</v>
      </c>
      <c r="AA19" s="7"/>
    </row>
    <row r="20" spans="6:27" x14ac:dyDescent="0.3">
      <c r="L20" s="14" t="s">
        <v>247</v>
      </c>
      <c r="M20" s="15" t="s">
        <v>248</v>
      </c>
      <c r="Z20" s="14" t="s">
        <v>249</v>
      </c>
      <c r="AA20" s="16" t="s">
        <v>248</v>
      </c>
    </row>
    <row r="21" spans="6:27" x14ac:dyDescent="0.3">
      <c r="F21" t="s">
        <v>242</v>
      </c>
      <c r="G21">
        <f>G18/I17</f>
        <v>0.95521343596920916</v>
      </c>
      <c r="L21">
        <f>I10-I3</f>
        <v>154.99</v>
      </c>
      <c r="M21" s="7">
        <f>AH9-AH3</f>
        <v>367</v>
      </c>
      <c r="T21" t="s">
        <v>242</v>
      </c>
      <c r="U21">
        <f>U18/W17</f>
        <v>0.95521343596920916</v>
      </c>
      <c r="Z21">
        <f>O10-O3</f>
        <v>9.4000000000000028E-2</v>
      </c>
      <c r="AA21" s="7">
        <f>AH10-AH3</f>
        <v>428</v>
      </c>
    </row>
    <row r="22" spans="6:27" x14ac:dyDescent="0.3">
      <c r="F22" t="s">
        <v>243</v>
      </c>
      <c r="G22">
        <f>1/G19</f>
        <v>31.847133757961785</v>
      </c>
      <c r="M22" s="11">
        <f>M21/60</f>
        <v>6.1166666666666663</v>
      </c>
      <c r="T22" t="s">
        <v>243</v>
      </c>
      <c r="U22">
        <f>1/U19</f>
        <v>31.847133757961785</v>
      </c>
      <c r="AA22" s="11"/>
    </row>
    <row r="23" spans="6:27" x14ac:dyDescent="0.3">
      <c r="F23" t="s">
        <v>244</v>
      </c>
      <c r="G23">
        <f>G16/G21</f>
        <v>2.3450256410256411E-2</v>
      </c>
      <c r="T23" t="s">
        <v>244</v>
      </c>
      <c r="U23">
        <f>U16/U21</f>
        <v>2.3450256410256411E-2</v>
      </c>
      <c r="AA23" s="7"/>
    </row>
    <row r="24" spans="6:27" x14ac:dyDescent="0.3">
      <c r="L24" s="6">
        <f>(L21/M21)*(G15/G16)/G19</f>
        <v>5.8061255370872225</v>
      </c>
      <c r="Z24" s="6">
        <f>(Z21/AA21)*(U15/U16)/U19</f>
        <v>3.0194851096578892E-3</v>
      </c>
      <c r="AA24" s="7"/>
    </row>
    <row r="25" spans="6:27" x14ac:dyDescent="0.3">
      <c r="F25" s="10">
        <f>(G14)*(G15/G23)*(G22)</f>
        <v>5.5460891239496544</v>
      </c>
      <c r="T25" s="10">
        <f>(U14)*(U15/U23)*(U22)</f>
        <v>2.8842527464541762E-3</v>
      </c>
      <c r="AA25" s="7"/>
    </row>
    <row r="27" spans="6:27" x14ac:dyDescent="0.3">
      <c r="Y27" s="12" t="s">
        <v>245</v>
      </c>
      <c r="Z27" s="12">
        <f>Z24*298</f>
        <v>0.89980656267805104</v>
      </c>
      <c r="AA27" s="7"/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7D120-1718-4B51-BAC9-248404E4D8E8}">
  <dimension ref="A1:AH26"/>
  <sheetViews>
    <sheetView topLeftCell="L1" workbookViewId="0">
      <selection activeCell="Z26" sqref="Z26"/>
    </sheetView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</v>
      </c>
      <c r="K1" t="s">
        <v>7</v>
      </c>
      <c r="L1" t="s">
        <v>9</v>
      </c>
      <c r="M1" t="s">
        <v>6</v>
      </c>
      <c r="N1" t="s">
        <v>7</v>
      </c>
      <c r="O1" t="s">
        <v>10</v>
      </c>
      <c r="P1" t="s">
        <v>6</v>
      </c>
      <c r="Q1" t="s">
        <v>7</v>
      </c>
      <c r="R1" t="s">
        <v>11</v>
      </c>
      <c r="S1" t="s">
        <v>6</v>
      </c>
      <c r="T1" t="s">
        <v>7</v>
      </c>
      <c r="U1" t="s">
        <v>12</v>
      </c>
      <c r="V1" t="s">
        <v>6</v>
      </c>
      <c r="W1" t="s">
        <v>7</v>
      </c>
      <c r="X1" t="s">
        <v>13</v>
      </c>
      <c r="Y1" t="s">
        <v>6</v>
      </c>
      <c r="Z1" t="s">
        <v>7</v>
      </c>
      <c r="AA1" t="s">
        <v>14</v>
      </c>
      <c r="AB1" t="s">
        <v>6</v>
      </c>
      <c r="AC1" t="s">
        <v>7</v>
      </c>
      <c r="AD1" t="s">
        <v>15</v>
      </c>
      <c r="AE1" t="s">
        <v>6</v>
      </c>
      <c r="AF1" t="s">
        <v>7</v>
      </c>
      <c r="AG1" t="s">
        <v>16</v>
      </c>
      <c r="AH1" t="s">
        <v>251</v>
      </c>
    </row>
    <row r="2" spans="1:34" x14ac:dyDescent="0.3">
      <c r="A2">
        <v>0</v>
      </c>
      <c r="B2" s="1">
        <v>45777</v>
      </c>
      <c r="C2" s="2">
        <v>0.65819444444444442</v>
      </c>
      <c r="D2" t="s">
        <v>207</v>
      </c>
      <c r="E2" t="s">
        <v>18</v>
      </c>
      <c r="F2">
        <v>1.72</v>
      </c>
      <c r="G2" t="s">
        <v>19</v>
      </c>
      <c r="H2" t="s">
        <v>20</v>
      </c>
      <c r="I2">
        <v>519.46</v>
      </c>
      <c r="J2" t="s">
        <v>21</v>
      </c>
      <c r="K2" t="s">
        <v>20</v>
      </c>
      <c r="L2">
        <v>3.5939999999999999</v>
      </c>
      <c r="M2" t="s">
        <v>21</v>
      </c>
      <c r="N2" t="s">
        <v>20</v>
      </c>
      <c r="O2">
        <v>0.43990000000000001</v>
      </c>
      <c r="P2" t="s">
        <v>21</v>
      </c>
      <c r="Q2" t="s">
        <v>20</v>
      </c>
      <c r="R2">
        <v>2.8000000000000001E-2</v>
      </c>
      <c r="S2" t="s">
        <v>21</v>
      </c>
      <c r="T2" t="s">
        <v>20</v>
      </c>
      <c r="U2">
        <v>2.093</v>
      </c>
      <c r="V2" t="s">
        <v>21</v>
      </c>
      <c r="W2" t="s">
        <v>20</v>
      </c>
      <c r="X2">
        <v>1018.8</v>
      </c>
      <c r="Y2" t="s">
        <v>22</v>
      </c>
      <c r="Z2" t="s">
        <v>23</v>
      </c>
      <c r="AA2">
        <v>50.71</v>
      </c>
      <c r="AB2" t="s">
        <v>24</v>
      </c>
      <c r="AC2" t="s">
        <v>23</v>
      </c>
      <c r="AD2">
        <v>59.21</v>
      </c>
      <c r="AE2" t="s">
        <v>24</v>
      </c>
      <c r="AF2" t="s">
        <v>23</v>
      </c>
      <c r="AG2" t="s">
        <v>25</v>
      </c>
      <c r="AH2" s="5">
        <f>HOUR(C2)*3600 + MINUTE(C2)*60 + SECOND(C2)</f>
        <v>56868</v>
      </c>
    </row>
    <row r="3" spans="1:34" x14ac:dyDescent="0.3">
      <c r="A3">
        <v>0</v>
      </c>
      <c r="B3" s="1">
        <v>45777</v>
      </c>
      <c r="C3" s="2">
        <v>0.65890046296296301</v>
      </c>
      <c r="D3" t="s">
        <v>208</v>
      </c>
      <c r="E3" t="s">
        <v>18</v>
      </c>
      <c r="F3">
        <v>1.64</v>
      </c>
      <c r="G3" t="s">
        <v>19</v>
      </c>
      <c r="H3" t="s">
        <v>20</v>
      </c>
      <c r="I3" s="14">
        <v>503.43</v>
      </c>
      <c r="J3" t="s">
        <v>21</v>
      </c>
      <c r="K3" t="s">
        <v>20</v>
      </c>
      <c r="L3">
        <v>3.597</v>
      </c>
      <c r="M3" t="s">
        <v>21</v>
      </c>
      <c r="N3" t="s">
        <v>20</v>
      </c>
      <c r="O3">
        <v>0.42249999999999999</v>
      </c>
      <c r="P3" t="s">
        <v>21</v>
      </c>
      <c r="Q3" t="s">
        <v>20</v>
      </c>
      <c r="R3">
        <v>3.0000000000000001E-3</v>
      </c>
      <c r="S3" t="s">
        <v>21</v>
      </c>
      <c r="T3" t="s">
        <v>20</v>
      </c>
      <c r="U3">
        <v>2.14</v>
      </c>
      <c r="V3" t="s">
        <v>21</v>
      </c>
      <c r="W3" t="s">
        <v>20</v>
      </c>
      <c r="X3">
        <v>1018.7</v>
      </c>
      <c r="Y3" t="s">
        <v>22</v>
      </c>
      <c r="Z3" t="s">
        <v>23</v>
      </c>
      <c r="AA3">
        <v>50.71</v>
      </c>
      <c r="AB3" t="s">
        <v>24</v>
      </c>
      <c r="AC3" t="s">
        <v>23</v>
      </c>
      <c r="AD3">
        <v>59.22</v>
      </c>
      <c r="AE3" t="s">
        <v>24</v>
      </c>
      <c r="AF3" t="s">
        <v>23</v>
      </c>
      <c r="AG3" t="s">
        <v>25</v>
      </c>
      <c r="AH3" s="5">
        <f t="shared" ref="AH3:AH9" si="0">HOUR(C3)*3600 + MINUTE(C3)*60 + SECOND(C3)</f>
        <v>56929</v>
      </c>
    </row>
    <row r="4" spans="1:34" x14ac:dyDescent="0.3">
      <c r="A4">
        <v>0</v>
      </c>
      <c r="B4" s="1">
        <v>45777</v>
      </c>
      <c r="C4" s="2">
        <v>0.65960648148148149</v>
      </c>
      <c r="D4" t="s">
        <v>209</v>
      </c>
      <c r="E4" t="s">
        <v>18</v>
      </c>
      <c r="F4">
        <v>1.7</v>
      </c>
      <c r="G4" t="s">
        <v>19</v>
      </c>
      <c r="H4" t="s">
        <v>20</v>
      </c>
      <c r="I4" s="14">
        <v>532.75</v>
      </c>
      <c r="J4" t="s">
        <v>21</v>
      </c>
      <c r="K4" t="s">
        <v>20</v>
      </c>
      <c r="L4">
        <v>3.6459999999999999</v>
      </c>
      <c r="M4" t="s">
        <v>21</v>
      </c>
      <c r="N4" t="s">
        <v>20</v>
      </c>
      <c r="O4">
        <v>0.43190000000000001</v>
      </c>
      <c r="P4" t="s">
        <v>21</v>
      </c>
      <c r="Q4" t="s">
        <v>20</v>
      </c>
      <c r="R4">
        <v>0.03</v>
      </c>
      <c r="S4" t="s">
        <v>21</v>
      </c>
      <c r="T4" t="s">
        <v>20</v>
      </c>
      <c r="U4">
        <v>2.11</v>
      </c>
      <c r="V4" t="s">
        <v>21</v>
      </c>
      <c r="W4" t="s">
        <v>20</v>
      </c>
      <c r="X4">
        <v>1018.7</v>
      </c>
      <c r="Y4" t="s">
        <v>22</v>
      </c>
      <c r="Z4" t="s">
        <v>23</v>
      </c>
      <c r="AA4">
        <v>50.76</v>
      </c>
      <c r="AB4" t="s">
        <v>24</v>
      </c>
      <c r="AC4" t="s">
        <v>23</v>
      </c>
      <c r="AD4">
        <v>59.24</v>
      </c>
      <c r="AE4" t="s">
        <v>24</v>
      </c>
      <c r="AF4" t="s">
        <v>23</v>
      </c>
      <c r="AG4" t="s">
        <v>25</v>
      </c>
      <c r="AH4" s="5">
        <f t="shared" si="0"/>
        <v>56990</v>
      </c>
    </row>
    <row r="5" spans="1:34" x14ac:dyDescent="0.3">
      <c r="A5">
        <v>0</v>
      </c>
      <c r="B5" s="1">
        <v>45777</v>
      </c>
      <c r="C5" s="2">
        <v>0.66031249999999997</v>
      </c>
      <c r="D5" t="s">
        <v>210</v>
      </c>
      <c r="E5" t="s">
        <v>18</v>
      </c>
      <c r="F5">
        <v>1.76</v>
      </c>
      <c r="G5" t="s">
        <v>19</v>
      </c>
      <c r="H5" t="s">
        <v>20</v>
      </c>
      <c r="I5" s="14">
        <v>558.24</v>
      </c>
      <c r="J5" t="s">
        <v>21</v>
      </c>
      <c r="K5" t="s">
        <v>20</v>
      </c>
      <c r="L5">
        <v>3.6779999999999999</v>
      </c>
      <c r="M5" t="s">
        <v>21</v>
      </c>
      <c r="N5" t="s">
        <v>20</v>
      </c>
      <c r="O5">
        <v>0.43459999999999999</v>
      </c>
      <c r="P5" t="s">
        <v>21</v>
      </c>
      <c r="Q5" t="s">
        <v>20</v>
      </c>
      <c r="R5">
        <v>4.2000000000000003E-2</v>
      </c>
      <c r="S5" t="s">
        <v>21</v>
      </c>
      <c r="T5" t="s">
        <v>20</v>
      </c>
      <c r="U5">
        <v>2.0859999999999999</v>
      </c>
      <c r="V5" t="s">
        <v>21</v>
      </c>
      <c r="W5" t="s">
        <v>20</v>
      </c>
      <c r="X5">
        <v>1018.7</v>
      </c>
      <c r="Y5" t="s">
        <v>22</v>
      </c>
      <c r="Z5" t="s">
        <v>23</v>
      </c>
      <c r="AA5">
        <v>50.84</v>
      </c>
      <c r="AB5" t="s">
        <v>24</v>
      </c>
      <c r="AC5" t="s">
        <v>23</v>
      </c>
      <c r="AD5">
        <v>59.32</v>
      </c>
      <c r="AE5" t="s">
        <v>24</v>
      </c>
      <c r="AF5" t="s">
        <v>23</v>
      </c>
      <c r="AG5" t="s">
        <v>25</v>
      </c>
      <c r="AH5" s="5">
        <f t="shared" si="0"/>
        <v>57051</v>
      </c>
    </row>
    <row r="6" spans="1:34" x14ac:dyDescent="0.3">
      <c r="A6">
        <v>0</v>
      </c>
      <c r="B6" s="1">
        <v>45777</v>
      </c>
      <c r="C6" s="2">
        <v>0.66101851851851856</v>
      </c>
      <c r="D6" t="s">
        <v>211</v>
      </c>
      <c r="E6" t="s">
        <v>18</v>
      </c>
      <c r="F6">
        <v>1.8</v>
      </c>
      <c r="G6" t="s">
        <v>19</v>
      </c>
      <c r="H6" t="s">
        <v>20</v>
      </c>
      <c r="I6" s="14">
        <v>583.70000000000005</v>
      </c>
      <c r="J6" t="s">
        <v>21</v>
      </c>
      <c r="K6" t="s">
        <v>20</v>
      </c>
      <c r="L6">
        <v>3.66</v>
      </c>
      <c r="M6" t="s">
        <v>21</v>
      </c>
      <c r="N6" t="s">
        <v>20</v>
      </c>
      <c r="O6">
        <v>0.43530000000000002</v>
      </c>
      <c r="P6" t="s">
        <v>21</v>
      </c>
      <c r="Q6" t="s">
        <v>20</v>
      </c>
      <c r="R6">
        <v>1.2E-2</v>
      </c>
      <c r="S6" t="s">
        <v>21</v>
      </c>
      <c r="T6" t="s">
        <v>20</v>
      </c>
      <c r="U6">
        <v>2.1080000000000001</v>
      </c>
      <c r="V6" t="s">
        <v>21</v>
      </c>
      <c r="W6" t="s">
        <v>20</v>
      </c>
      <c r="X6">
        <v>1018.7</v>
      </c>
      <c r="Y6" t="s">
        <v>22</v>
      </c>
      <c r="Z6" t="s">
        <v>23</v>
      </c>
      <c r="AA6">
        <v>50.95</v>
      </c>
      <c r="AB6" t="s">
        <v>24</v>
      </c>
      <c r="AC6" t="s">
        <v>23</v>
      </c>
      <c r="AD6">
        <v>59.41</v>
      </c>
      <c r="AE6" t="s">
        <v>24</v>
      </c>
      <c r="AF6" t="s">
        <v>23</v>
      </c>
      <c r="AG6" t="s">
        <v>25</v>
      </c>
      <c r="AH6" s="5">
        <f t="shared" si="0"/>
        <v>57112</v>
      </c>
    </row>
    <row r="7" spans="1:34" x14ac:dyDescent="0.3">
      <c r="A7">
        <v>0</v>
      </c>
      <c r="B7" s="1">
        <v>45777</v>
      </c>
      <c r="C7" s="2">
        <v>0.66172453703703704</v>
      </c>
      <c r="D7" t="s">
        <v>212</v>
      </c>
      <c r="E7" t="s">
        <v>18</v>
      </c>
      <c r="F7">
        <v>1.85</v>
      </c>
      <c r="G7" t="s">
        <v>19</v>
      </c>
      <c r="H7" t="s">
        <v>20</v>
      </c>
      <c r="I7" s="14">
        <v>603.59</v>
      </c>
      <c r="J7" t="s">
        <v>21</v>
      </c>
      <c r="K7" t="s">
        <v>20</v>
      </c>
      <c r="L7">
        <v>3.6360000000000001</v>
      </c>
      <c r="M7" t="s">
        <v>21</v>
      </c>
      <c r="N7" t="s">
        <v>20</v>
      </c>
      <c r="O7">
        <v>0.4446</v>
      </c>
      <c r="P7" t="s">
        <v>21</v>
      </c>
      <c r="Q7" t="s">
        <v>20</v>
      </c>
      <c r="R7">
        <v>4.3999999999999997E-2</v>
      </c>
      <c r="S7" t="s">
        <v>21</v>
      </c>
      <c r="T7" t="s">
        <v>20</v>
      </c>
      <c r="U7">
        <v>2.113</v>
      </c>
      <c r="V7" t="s">
        <v>21</v>
      </c>
      <c r="W7" t="s">
        <v>20</v>
      </c>
      <c r="X7">
        <v>1018.7</v>
      </c>
      <c r="Y7" t="s">
        <v>22</v>
      </c>
      <c r="Z7" t="s">
        <v>23</v>
      </c>
      <c r="AA7">
        <v>50.97</v>
      </c>
      <c r="AB7" t="s">
        <v>24</v>
      </c>
      <c r="AC7" t="s">
        <v>23</v>
      </c>
      <c r="AD7">
        <v>59.51</v>
      </c>
      <c r="AE7" t="s">
        <v>24</v>
      </c>
      <c r="AF7" t="s">
        <v>23</v>
      </c>
      <c r="AG7" t="s">
        <v>25</v>
      </c>
      <c r="AH7" s="5">
        <f t="shared" si="0"/>
        <v>57173</v>
      </c>
    </row>
    <row r="8" spans="1:34" x14ac:dyDescent="0.3">
      <c r="A8">
        <v>0</v>
      </c>
      <c r="B8" s="1">
        <v>45777</v>
      </c>
      <c r="C8" s="2">
        <v>0.66243055555555552</v>
      </c>
      <c r="D8" t="s">
        <v>213</v>
      </c>
      <c r="E8" t="s">
        <v>18</v>
      </c>
      <c r="F8">
        <v>1.89</v>
      </c>
      <c r="G8" t="s">
        <v>19</v>
      </c>
      <c r="H8" t="s">
        <v>20</v>
      </c>
      <c r="I8" s="14">
        <v>630.39</v>
      </c>
      <c r="J8" t="s">
        <v>21</v>
      </c>
      <c r="K8" t="s">
        <v>20</v>
      </c>
      <c r="L8">
        <v>3.7010000000000001</v>
      </c>
      <c r="M8" t="s">
        <v>21</v>
      </c>
      <c r="N8" t="s">
        <v>20</v>
      </c>
      <c r="O8">
        <v>0.45</v>
      </c>
      <c r="P8" t="s">
        <v>21</v>
      </c>
      <c r="Q8" t="s">
        <v>20</v>
      </c>
      <c r="R8">
        <v>3.1E-2</v>
      </c>
      <c r="S8" t="s">
        <v>21</v>
      </c>
      <c r="T8" t="s">
        <v>20</v>
      </c>
      <c r="U8">
        <v>2.0920000000000001</v>
      </c>
      <c r="V8" t="s">
        <v>21</v>
      </c>
      <c r="W8" t="s">
        <v>20</v>
      </c>
      <c r="X8">
        <v>1018.7</v>
      </c>
      <c r="Y8" t="s">
        <v>22</v>
      </c>
      <c r="Z8" t="s">
        <v>23</v>
      </c>
      <c r="AA8">
        <v>51.04</v>
      </c>
      <c r="AB8" t="s">
        <v>24</v>
      </c>
      <c r="AC8" t="s">
        <v>23</v>
      </c>
      <c r="AD8">
        <v>59.53</v>
      </c>
      <c r="AE8" t="s">
        <v>24</v>
      </c>
      <c r="AF8" t="s">
        <v>23</v>
      </c>
      <c r="AG8" t="s">
        <v>25</v>
      </c>
      <c r="AH8" s="5">
        <f t="shared" si="0"/>
        <v>57234</v>
      </c>
    </row>
    <row r="9" spans="1:34" x14ac:dyDescent="0.3">
      <c r="A9">
        <v>0</v>
      </c>
      <c r="B9" s="1">
        <v>45777</v>
      </c>
      <c r="C9" s="2">
        <v>0.66313657407407411</v>
      </c>
      <c r="D9" t="s">
        <v>214</v>
      </c>
      <c r="E9" t="s">
        <v>18</v>
      </c>
      <c r="F9">
        <v>1.92</v>
      </c>
      <c r="G9" t="s">
        <v>19</v>
      </c>
      <c r="H9" t="s">
        <v>20</v>
      </c>
      <c r="I9" s="14">
        <v>658.49</v>
      </c>
      <c r="J9" t="s">
        <v>21</v>
      </c>
      <c r="K9" t="s">
        <v>20</v>
      </c>
      <c r="L9">
        <v>3.7869999999999999</v>
      </c>
      <c r="M9" t="s">
        <v>21</v>
      </c>
      <c r="N9" t="s">
        <v>20</v>
      </c>
      <c r="O9">
        <v>0.46129999999999999</v>
      </c>
      <c r="P9" t="s">
        <v>21</v>
      </c>
      <c r="Q9" t="s">
        <v>20</v>
      </c>
      <c r="R9">
        <v>4.2000000000000003E-2</v>
      </c>
      <c r="S9" t="s">
        <v>21</v>
      </c>
      <c r="T9" t="s">
        <v>20</v>
      </c>
      <c r="U9">
        <v>2.1269999999999998</v>
      </c>
      <c r="V9" t="s">
        <v>21</v>
      </c>
      <c r="W9" t="s">
        <v>20</v>
      </c>
      <c r="X9">
        <v>1018.6</v>
      </c>
      <c r="Y9" t="s">
        <v>22</v>
      </c>
      <c r="Z9" t="s">
        <v>23</v>
      </c>
      <c r="AA9">
        <v>51.12</v>
      </c>
      <c r="AB9" t="s">
        <v>24</v>
      </c>
      <c r="AC9" t="s">
        <v>23</v>
      </c>
      <c r="AD9">
        <v>59.66</v>
      </c>
      <c r="AE9" t="s">
        <v>24</v>
      </c>
      <c r="AF9" t="s">
        <v>23</v>
      </c>
      <c r="AG9" t="s">
        <v>25</v>
      </c>
      <c r="AH9" s="5">
        <f t="shared" si="0"/>
        <v>57295</v>
      </c>
    </row>
    <row r="12" spans="1:34" ht="23.4" x14ac:dyDescent="0.45">
      <c r="A12" s="3" t="s">
        <v>231</v>
      </c>
      <c r="O12" s="4" t="s">
        <v>232</v>
      </c>
    </row>
    <row r="13" spans="1:34" x14ac:dyDescent="0.3">
      <c r="B13" t="s">
        <v>233</v>
      </c>
      <c r="C13">
        <f>L20</f>
        <v>155.06</v>
      </c>
      <c r="F13" t="s">
        <v>234</v>
      </c>
      <c r="G13" s="5">
        <f>C15</f>
        <v>0.42366120218579234</v>
      </c>
      <c r="M13" s="5"/>
      <c r="P13" t="s">
        <v>233</v>
      </c>
      <c r="Q13">
        <f>Z20</f>
        <v>3.8800000000000001E-2</v>
      </c>
      <c r="T13" t="s">
        <v>234</v>
      </c>
      <c r="U13" s="5">
        <f>Q15</f>
        <v>1.0601092896174864E-4</v>
      </c>
      <c r="AA13" s="7"/>
    </row>
    <row r="14" spans="1:34" x14ac:dyDescent="0.3">
      <c r="B14" t="s">
        <v>2</v>
      </c>
      <c r="C14" s="5">
        <f>M20</f>
        <v>366</v>
      </c>
      <c r="F14" t="s">
        <v>235</v>
      </c>
      <c r="G14" s="8">
        <v>9.6699999999999998E-3</v>
      </c>
      <c r="M14" s="5"/>
      <c r="P14" t="s">
        <v>2</v>
      </c>
      <c r="Q14" s="5">
        <f>AA20</f>
        <v>366</v>
      </c>
      <c r="T14" t="s">
        <v>235</v>
      </c>
      <c r="U14" s="8">
        <v>9.6699999999999998E-3</v>
      </c>
      <c r="AA14" s="7"/>
    </row>
    <row r="15" spans="1:34" x14ac:dyDescent="0.3">
      <c r="B15" t="s">
        <v>236</v>
      </c>
      <c r="C15" s="5">
        <f>C13/C14</f>
        <v>0.42366120218579234</v>
      </c>
      <c r="F15" t="s">
        <v>237</v>
      </c>
      <c r="G15">
        <f>22.4*10^-3</f>
        <v>2.24E-2</v>
      </c>
      <c r="M15" s="5"/>
      <c r="P15" t="s">
        <v>236</v>
      </c>
      <c r="Q15" s="9">
        <f>Q13/Q14</f>
        <v>1.0601092896174864E-4</v>
      </c>
      <c r="T15" t="s">
        <v>237</v>
      </c>
      <c r="U15">
        <f>22.4*10^-3</f>
        <v>2.24E-2</v>
      </c>
      <c r="AA15" s="7"/>
    </row>
    <row r="16" spans="1:34" x14ac:dyDescent="0.3">
      <c r="F16" s="10" t="s">
        <v>238</v>
      </c>
      <c r="G16" s="10">
        <v>12.8</v>
      </c>
      <c r="H16" t="s">
        <v>239</v>
      </c>
      <c r="I16">
        <f>G16+273</f>
        <v>285.8</v>
      </c>
      <c r="M16" s="5"/>
      <c r="T16" s="10" t="s">
        <v>238</v>
      </c>
      <c r="U16" s="10">
        <v>12.8</v>
      </c>
      <c r="V16" t="s">
        <v>239</v>
      </c>
      <c r="W16">
        <f>U16+273</f>
        <v>285.8</v>
      </c>
      <c r="AA16" s="7"/>
    </row>
    <row r="17" spans="6:27" x14ac:dyDescent="0.3">
      <c r="F17" t="s">
        <v>240</v>
      </c>
      <c r="G17">
        <v>273</v>
      </c>
      <c r="M17" s="5"/>
      <c r="T17" t="s">
        <v>240</v>
      </c>
      <c r="U17">
        <v>273</v>
      </c>
      <c r="AA17" s="7"/>
    </row>
    <row r="18" spans="6:27" x14ac:dyDescent="0.3">
      <c r="F18" t="s">
        <v>241</v>
      </c>
      <c r="G18">
        <v>3.1399999999999997E-2</v>
      </c>
      <c r="M18" s="5"/>
      <c r="T18" t="s">
        <v>241</v>
      </c>
      <c r="U18">
        <v>3.1399999999999997E-2</v>
      </c>
      <c r="AA18" s="7"/>
    </row>
    <row r="19" spans="6:27" x14ac:dyDescent="0.3">
      <c r="L19" s="14" t="s">
        <v>247</v>
      </c>
      <c r="M19" s="15" t="s">
        <v>248</v>
      </c>
      <c r="Z19" s="14" t="s">
        <v>249</v>
      </c>
      <c r="AA19" s="16" t="s">
        <v>248</v>
      </c>
    </row>
    <row r="20" spans="6:27" x14ac:dyDescent="0.3">
      <c r="F20" t="s">
        <v>242</v>
      </c>
      <c r="G20">
        <f>G17/I16</f>
        <v>0.95521343596920916</v>
      </c>
      <c r="L20">
        <f>I9-I3</f>
        <v>155.06</v>
      </c>
      <c r="M20" s="7">
        <f>AH9-AH3</f>
        <v>366</v>
      </c>
      <c r="T20" t="s">
        <v>242</v>
      </c>
      <c r="U20">
        <f>U17/W16</f>
        <v>0.95521343596920916</v>
      </c>
      <c r="Z20">
        <f>O9-O3</f>
        <v>3.8800000000000001E-2</v>
      </c>
      <c r="AA20" s="7">
        <f>AH9-AH3</f>
        <v>366</v>
      </c>
    </row>
    <row r="21" spans="6:27" x14ac:dyDescent="0.3">
      <c r="F21" t="s">
        <v>243</v>
      </c>
      <c r="G21">
        <f>1/G18</f>
        <v>31.847133757961785</v>
      </c>
      <c r="M21" s="11">
        <f>M20/60</f>
        <v>6.1</v>
      </c>
      <c r="T21" t="s">
        <v>243</v>
      </c>
      <c r="U21">
        <f>1/U18</f>
        <v>31.847133757961785</v>
      </c>
      <c r="AA21" s="11"/>
    </row>
    <row r="22" spans="6:27" x14ac:dyDescent="0.3">
      <c r="F22" t="s">
        <v>244</v>
      </c>
      <c r="G22">
        <f>G15/G20</f>
        <v>2.3450256410256411E-2</v>
      </c>
      <c r="T22" t="s">
        <v>244</v>
      </c>
      <c r="U22">
        <f>U15/U20</f>
        <v>2.3450256410256411E-2</v>
      </c>
      <c r="AA22" s="7"/>
    </row>
    <row r="23" spans="6:27" x14ac:dyDescent="0.3">
      <c r="L23" s="6">
        <f>(L20/M20)*(G14/G15)/G18</f>
        <v>5.8246187231810351</v>
      </c>
      <c r="Z23" s="6">
        <f>(Z20/AA20)*(U14/U15)/U18</f>
        <v>1.4574694083543411E-3</v>
      </c>
      <c r="AA23" s="7"/>
    </row>
    <row r="24" spans="6:27" x14ac:dyDescent="0.3">
      <c r="F24" s="10">
        <f>(G13)*(G14/G22)*(G21)</f>
        <v>5.563754063780344</v>
      </c>
      <c r="T24" s="10">
        <f>(U13)*(U14/U22)*(U21)</f>
        <v>1.3921943613741607E-3</v>
      </c>
      <c r="AA24" s="7"/>
    </row>
    <row r="26" spans="6:27" x14ac:dyDescent="0.3">
      <c r="Y26" s="12" t="s">
        <v>245</v>
      </c>
      <c r="Z26" s="12">
        <f>Z23*298</f>
        <v>0.43432588368959363</v>
      </c>
      <c r="AA26" s="7"/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532EC-E699-4408-95FD-5FDC85852585}">
  <dimension ref="A1:AH25"/>
  <sheetViews>
    <sheetView topLeftCell="D12" workbookViewId="0">
      <selection activeCell="Z25" sqref="Z25"/>
    </sheetView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</v>
      </c>
      <c r="K1" t="s">
        <v>7</v>
      </c>
      <c r="L1" t="s">
        <v>9</v>
      </c>
      <c r="M1" t="s">
        <v>6</v>
      </c>
      <c r="N1" t="s">
        <v>7</v>
      </c>
      <c r="O1" t="s">
        <v>10</v>
      </c>
      <c r="P1" t="s">
        <v>6</v>
      </c>
      <c r="Q1" t="s">
        <v>7</v>
      </c>
      <c r="R1" t="s">
        <v>11</v>
      </c>
      <c r="S1" t="s">
        <v>6</v>
      </c>
      <c r="T1" t="s">
        <v>7</v>
      </c>
      <c r="U1" t="s">
        <v>12</v>
      </c>
      <c r="V1" t="s">
        <v>6</v>
      </c>
      <c r="W1" t="s">
        <v>7</v>
      </c>
      <c r="X1" t="s">
        <v>13</v>
      </c>
      <c r="Y1" t="s">
        <v>6</v>
      </c>
      <c r="Z1" t="s">
        <v>7</v>
      </c>
      <c r="AA1" t="s">
        <v>14</v>
      </c>
      <c r="AB1" t="s">
        <v>6</v>
      </c>
      <c r="AC1" t="s">
        <v>7</v>
      </c>
      <c r="AD1" t="s">
        <v>15</v>
      </c>
      <c r="AE1" t="s">
        <v>6</v>
      </c>
      <c r="AF1" t="s">
        <v>7</v>
      </c>
      <c r="AG1" t="s">
        <v>16</v>
      </c>
      <c r="AH1" t="s">
        <v>246</v>
      </c>
    </row>
    <row r="2" spans="1:34" x14ac:dyDescent="0.3">
      <c r="A2">
        <v>0</v>
      </c>
      <c r="B2" s="1">
        <v>45777</v>
      </c>
      <c r="C2" s="2">
        <v>0.66467592592592595</v>
      </c>
      <c r="D2" t="s">
        <v>215</v>
      </c>
      <c r="E2" t="s">
        <v>18</v>
      </c>
      <c r="F2">
        <v>1.67</v>
      </c>
      <c r="G2" t="s">
        <v>19</v>
      </c>
      <c r="H2" t="s">
        <v>20</v>
      </c>
      <c r="I2">
        <v>512.70000000000005</v>
      </c>
      <c r="J2" t="s">
        <v>21</v>
      </c>
      <c r="K2" t="s">
        <v>20</v>
      </c>
      <c r="L2">
        <v>3.83</v>
      </c>
      <c r="M2" t="s">
        <v>21</v>
      </c>
      <c r="N2" t="s">
        <v>20</v>
      </c>
      <c r="O2">
        <v>0.43070000000000003</v>
      </c>
      <c r="P2" t="s">
        <v>21</v>
      </c>
      <c r="Q2" t="s">
        <v>20</v>
      </c>
      <c r="R2">
        <v>5.0000000000000001E-3</v>
      </c>
      <c r="S2" t="s">
        <v>21</v>
      </c>
      <c r="T2" t="s">
        <v>20</v>
      </c>
      <c r="U2">
        <v>2.1419999999999999</v>
      </c>
      <c r="V2" t="s">
        <v>21</v>
      </c>
      <c r="W2" t="s">
        <v>20</v>
      </c>
      <c r="X2">
        <v>1018.7</v>
      </c>
      <c r="Y2" t="s">
        <v>22</v>
      </c>
      <c r="Z2" t="s">
        <v>23</v>
      </c>
      <c r="AA2">
        <v>51.29</v>
      </c>
      <c r="AB2" t="s">
        <v>24</v>
      </c>
      <c r="AC2" t="s">
        <v>23</v>
      </c>
      <c r="AD2">
        <v>59.83</v>
      </c>
      <c r="AE2" t="s">
        <v>24</v>
      </c>
      <c r="AF2" t="s">
        <v>23</v>
      </c>
      <c r="AG2" t="s">
        <v>25</v>
      </c>
      <c r="AH2" s="5">
        <f>HOUR(C2)*3600 + MINUTE(C2)*60 + SECOND(C2)</f>
        <v>57428</v>
      </c>
    </row>
    <row r="3" spans="1:34" x14ac:dyDescent="0.3">
      <c r="A3">
        <v>0</v>
      </c>
      <c r="B3" s="1">
        <v>45777</v>
      </c>
      <c r="C3" s="2">
        <v>0.66537037037037039</v>
      </c>
      <c r="D3" t="s">
        <v>216</v>
      </c>
      <c r="E3" t="s">
        <v>18</v>
      </c>
      <c r="F3">
        <v>1.66</v>
      </c>
      <c r="G3" t="s">
        <v>19</v>
      </c>
      <c r="H3" t="s">
        <v>20</v>
      </c>
      <c r="I3">
        <v>493.12</v>
      </c>
      <c r="J3" t="s">
        <v>21</v>
      </c>
      <c r="K3" t="s">
        <v>20</v>
      </c>
      <c r="L3">
        <v>3.819</v>
      </c>
      <c r="M3" t="s">
        <v>21</v>
      </c>
      <c r="N3" t="s">
        <v>20</v>
      </c>
      <c r="O3">
        <v>0.42909999999999998</v>
      </c>
      <c r="P3" t="s">
        <v>21</v>
      </c>
      <c r="Q3" t="s">
        <v>20</v>
      </c>
      <c r="R3">
        <v>0</v>
      </c>
      <c r="S3" t="s">
        <v>21</v>
      </c>
      <c r="T3" t="s">
        <v>20</v>
      </c>
      <c r="U3">
        <v>2.145</v>
      </c>
      <c r="V3" t="s">
        <v>21</v>
      </c>
      <c r="W3" t="s">
        <v>20</v>
      </c>
      <c r="X3">
        <v>1018.7</v>
      </c>
      <c r="Y3" t="s">
        <v>22</v>
      </c>
      <c r="Z3" t="s">
        <v>23</v>
      </c>
      <c r="AA3">
        <v>51.39</v>
      </c>
      <c r="AB3" t="s">
        <v>24</v>
      </c>
      <c r="AC3" t="s">
        <v>23</v>
      </c>
      <c r="AD3">
        <v>60.01</v>
      </c>
      <c r="AE3" t="s">
        <v>24</v>
      </c>
      <c r="AF3" t="s">
        <v>23</v>
      </c>
      <c r="AG3" t="s">
        <v>25</v>
      </c>
      <c r="AH3" s="5">
        <f t="shared" ref="AH3:AH9" si="0">HOUR(C3)*3600 + MINUTE(C3)*60 + SECOND(C3)</f>
        <v>57488</v>
      </c>
    </row>
    <row r="4" spans="1:34" x14ac:dyDescent="0.3">
      <c r="A4">
        <v>0</v>
      </c>
      <c r="B4" s="1">
        <v>45777</v>
      </c>
      <c r="C4" s="2">
        <v>0.66607638888888887</v>
      </c>
      <c r="D4" t="s">
        <v>217</v>
      </c>
      <c r="E4" t="s">
        <v>18</v>
      </c>
      <c r="F4">
        <v>1.74</v>
      </c>
      <c r="G4" t="s">
        <v>19</v>
      </c>
      <c r="H4" t="s">
        <v>20</v>
      </c>
      <c r="I4">
        <v>516.05999999999995</v>
      </c>
      <c r="J4" t="s">
        <v>21</v>
      </c>
      <c r="K4" t="s">
        <v>20</v>
      </c>
      <c r="L4">
        <v>3.8540000000000001</v>
      </c>
      <c r="M4" t="s">
        <v>21</v>
      </c>
      <c r="N4" t="s">
        <v>20</v>
      </c>
      <c r="O4">
        <v>0.43390000000000001</v>
      </c>
      <c r="P4" t="s">
        <v>21</v>
      </c>
      <c r="Q4" t="s">
        <v>20</v>
      </c>
      <c r="R4">
        <v>5.1999999999999998E-2</v>
      </c>
      <c r="S4" t="s">
        <v>21</v>
      </c>
      <c r="T4" t="s">
        <v>20</v>
      </c>
      <c r="U4">
        <v>2.1469999999999998</v>
      </c>
      <c r="V4" t="s">
        <v>21</v>
      </c>
      <c r="W4" t="s">
        <v>20</v>
      </c>
      <c r="X4">
        <v>1018.6</v>
      </c>
      <c r="Y4" t="s">
        <v>22</v>
      </c>
      <c r="Z4" t="s">
        <v>23</v>
      </c>
      <c r="AA4">
        <v>51.51</v>
      </c>
      <c r="AB4" t="s">
        <v>24</v>
      </c>
      <c r="AC4" t="s">
        <v>23</v>
      </c>
      <c r="AD4">
        <v>60.13</v>
      </c>
      <c r="AE4" t="s">
        <v>24</v>
      </c>
      <c r="AF4" t="s">
        <v>23</v>
      </c>
      <c r="AG4" t="s">
        <v>25</v>
      </c>
      <c r="AH4" s="5">
        <f t="shared" si="0"/>
        <v>57549</v>
      </c>
    </row>
    <row r="5" spans="1:34" x14ac:dyDescent="0.3">
      <c r="A5">
        <v>0</v>
      </c>
      <c r="B5" s="1">
        <v>45777</v>
      </c>
      <c r="C5" s="2">
        <v>0.66678240740740746</v>
      </c>
      <c r="D5" t="s">
        <v>218</v>
      </c>
      <c r="E5" t="s">
        <v>18</v>
      </c>
      <c r="F5">
        <v>1.8</v>
      </c>
      <c r="G5" t="s">
        <v>19</v>
      </c>
      <c r="H5" t="s">
        <v>20</v>
      </c>
      <c r="I5">
        <v>540.29</v>
      </c>
      <c r="J5" t="s">
        <v>21</v>
      </c>
      <c r="K5" t="s">
        <v>20</v>
      </c>
      <c r="L5">
        <v>3.891</v>
      </c>
      <c r="M5" t="s">
        <v>21</v>
      </c>
      <c r="N5" t="s">
        <v>20</v>
      </c>
      <c r="O5">
        <v>0.43380000000000002</v>
      </c>
      <c r="P5" t="s">
        <v>21</v>
      </c>
      <c r="Q5" t="s">
        <v>20</v>
      </c>
      <c r="R5">
        <v>0</v>
      </c>
      <c r="S5" t="s">
        <v>21</v>
      </c>
      <c r="T5" t="s">
        <v>20</v>
      </c>
      <c r="U5">
        <v>2.13</v>
      </c>
      <c r="V5" t="s">
        <v>21</v>
      </c>
      <c r="W5" t="s">
        <v>20</v>
      </c>
      <c r="X5">
        <v>1018.6</v>
      </c>
      <c r="Y5" t="s">
        <v>22</v>
      </c>
      <c r="Z5" t="s">
        <v>23</v>
      </c>
      <c r="AA5">
        <v>51.61</v>
      </c>
      <c r="AB5" t="s">
        <v>24</v>
      </c>
      <c r="AC5" t="s">
        <v>23</v>
      </c>
      <c r="AD5">
        <v>60.26</v>
      </c>
      <c r="AE5" t="s">
        <v>24</v>
      </c>
      <c r="AF5" t="s">
        <v>23</v>
      </c>
      <c r="AG5" t="s">
        <v>25</v>
      </c>
      <c r="AH5" s="5">
        <f t="shared" si="0"/>
        <v>57610</v>
      </c>
    </row>
    <row r="6" spans="1:34" x14ac:dyDescent="0.3">
      <c r="A6">
        <v>0</v>
      </c>
      <c r="B6" s="1">
        <v>45777</v>
      </c>
      <c r="C6" s="2">
        <v>0.66749999999999998</v>
      </c>
      <c r="D6" t="s">
        <v>219</v>
      </c>
      <c r="E6" t="s">
        <v>18</v>
      </c>
      <c r="F6">
        <v>1.86</v>
      </c>
      <c r="G6" t="s">
        <v>19</v>
      </c>
      <c r="H6" t="s">
        <v>20</v>
      </c>
      <c r="I6">
        <v>556.80999999999995</v>
      </c>
      <c r="J6" t="s">
        <v>21</v>
      </c>
      <c r="K6" t="s">
        <v>20</v>
      </c>
      <c r="L6">
        <v>3.8559999999999999</v>
      </c>
      <c r="M6" t="s">
        <v>21</v>
      </c>
      <c r="N6" t="s">
        <v>20</v>
      </c>
      <c r="O6">
        <v>0.44309999999999999</v>
      </c>
      <c r="P6" t="s">
        <v>21</v>
      </c>
      <c r="Q6" t="s">
        <v>20</v>
      </c>
      <c r="R6">
        <v>2.9000000000000001E-2</v>
      </c>
      <c r="S6" t="s">
        <v>21</v>
      </c>
      <c r="T6" t="s">
        <v>20</v>
      </c>
      <c r="U6">
        <v>2.1389999999999998</v>
      </c>
      <c r="V6" t="s">
        <v>21</v>
      </c>
      <c r="W6" t="s">
        <v>20</v>
      </c>
      <c r="X6">
        <v>1018.6</v>
      </c>
      <c r="Y6" t="s">
        <v>22</v>
      </c>
      <c r="Z6" t="s">
        <v>23</v>
      </c>
      <c r="AA6">
        <v>51.63</v>
      </c>
      <c r="AB6" t="s">
        <v>24</v>
      </c>
      <c r="AC6" t="s">
        <v>23</v>
      </c>
      <c r="AD6">
        <v>60.33</v>
      </c>
      <c r="AE6" t="s">
        <v>24</v>
      </c>
      <c r="AF6" t="s">
        <v>23</v>
      </c>
      <c r="AG6" t="s">
        <v>25</v>
      </c>
      <c r="AH6" s="5">
        <f t="shared" si="0"/>
        <v>57672</v>
      </c>
    </row>
    <row r="7" spans="1:34" x14ac:dyDescent="0.3">
      <c r="A7">
        <v>0</v>
      </c>
      <c r="B7" s="1">
        <v>45777</v>
      </c>
      <c r="C7" s="2">
        <v>0.66820601851851846</v>
      </c>
      <c r="D7" t="s">
        <v>220</v>
      </c>
      <c r="E7" t="s">
        <v>18</v>
      </c>
      <c r="F7">
        <v>1.9</v>
      </c>
      <c r="G7" t="s">
        <v>19</v>
      </c>
      <c r="H7" t="s">
        <v>20</v>
      </c>
      <c r="I7">
        <v>583.71</v>
      </c>
      <c r="J7" t="s">
        <v>21</v>
      </c>
      <c r="K7" t="s">
        <v>20</v>
      </c>
      <c r="L7">
        <v>3.9220000000000002</v>
      </c>
      <c r="M7" t="s">
        <v>21</v>
      </c>
      <c r="N7" t="s">
        <v>20</v>
      </c>
      <c r="O7">
        <v>0.45679999999999998</v>
      </c>
      <c r="P7" t="s">
        <v>21</v>
      </c>
      <c r="Q7" t="s">
        <v>20</v>
      </c>
      <c r="R7">
        <v>3.9E-2</v>
      </c>
      <c r="S7" t="s">
        <v>21</v>
      </c>
      <c r="T7" t="s">
        <v>20</v>
      </c>
      <c r="U7">
        <v>2.1320000000000001</v>
      </c>
      <c r="V7" t="s">
        <v>21</v>
      </c>
      <c r="W7" t="s">
        <v>20</v>
      </c>
      <c r="X7">
        <v>1018.7</v>
      </c>
      <c r="Y7" t="s">
        <v>22</v>
      </c>
      <c r="Z7" t="s">
        <v>23</v>
      </c>
      <c r="AA7">
        <v>51.73</v>
      </c>
      <c r="AB7" t="s">
        <v>24</v>
      </c>
      <c r="AC7" t="s">
        <v>23</v>
      </c>
      <c r="AD7">
        <v>60.41</v>
      </c>
      <c r="AE7" t="s">
        <v>24</v>
      </c>
      <c r="AF7" t="s">
        <v>23</v>
      </c>
      <c r="AG7" t="s">
        <v>25</v>
      </c>
      <c r="AH7" s="5">
        <f t="shared" si="0"/>
        <v>57733</v>
      </c>
    </row>
    <row r="8" spans="1:34" x14ac:dyDescent="0.3">
      <c r="A8">
        <v>0</v>
      </c>
      <c r="B8" s="1">
        <v>45777</v>
      </c>
      <c r="C8" s="2">
        <v>0.66891203703703705</v>
      </c>
      <c r="D8" t="s">
        <v>221</v>
      </c>
      <c r="E8" t="s">
        <v>18</v>
      </c>
      <c r="F8">
        <v>1.94</v>
      </c>
      <c r="G8" t="s">
        <v>19</v>
      </c>
      <c r="H8" t="s">
        <v>20</v>
      </c>
      <c r="I8">
        <v>605.62</v>
      </c>
      <c r="J8" t="s">
        <v>21</v>
      </c>
      <c r="K8" t="s">
        <v>20</v>
      </c>
      <c r="L8">
        <v>3.944</v>
      </c>
      <c r="M8" t="s">
        <v>21</v>
      </c>
      <c r="N8" t="s">
        <v>20</v>
      </c>
      <c r="O8">
        <v>0.4622</v>
      </c>
      <c r="P8" t="s">
        <v>21</v>
      </c>
      <c r="Q8" t="s">
        <v>20</v>
      </c>
      <c r="R8">
        <v>8.6999999999999994E-2</v>
      </c>
      <c r="S8" t="s">
        <v>21</v>
      </c>
      <c r="T8" t="s">
        <v>20</v>
      </c>
      <c r="U8">
        <v>2.1110000000000002</v>
      </c>
      <c r="V8" t="s">
        <v>21</v>
      </c>
      <c r="W8" t="s">
        <v>20</v>
      </c>
      <c r="X8">
        <v>1018.7</v>
      </c>
      <c r="Y8" t="s">
        <v>22</v>
      </c>
      <c r="Z8" t="s">
        <v>23</v>
      </c>
      <c r="AA8">
        <v>51.74</v>
      </c>
      <c r="AB8" t="s">
        <v>24</v>
      </c>
      <c r="AC8" t="s">
        <v>23</v>
      </c>
      <c r="AD8">
        <v>60.42</v>
      </c>
      <c r="AE8" t="s">
        <v>24</v>
      </c>
      <c r="AF8" t="s">
        <v>23</v>
      </c>
      <c r="AG8" t="s">
        <v>25</v>
      </c>
      <c r="AH8" s="5">
        <f t="shared" si="0"/>
        <v>57794</v>
      </c>
    </row>
    <row r="9" spans="1:34" x14ac:dyDescent="0.3">
      <c r="A9">
        <v>0</v>
      </c>
      <c r="B9" s="1">
        <v>45777</v>
      </c>
      <c r="C9" s="2">
        <v>0.66961805555555554</v>
      </c>
      <c r="D9" t="s">
        <v>222</v>
      </c>
      <c r="E9" t="s">
        <v>18</v>
      </c>
      <c r="F9">
        <v>1.96</v>
      </c>
      <c r="G9" t="s">
        <v>19</v>
      </c>
      <c r="H9" t="s">
        <v>20</v>
      </c>
      <c r="I9">
        <v>621</v>
      </c>
      <c r="J9" t="s">
        <v>21</v>
      </c>
      <c r="K9" t="s">
        <v>20</v>
      </c>
      <c r="L9">
        <v>3.9220000000000002</v>
      </c>
      <c r="M9" t="s">
        <v>21</v>
      </c>
      <c r="N9" t="s">
        <v>20</v>
      </c>
      <c r="O9">
        <v>0.46920000000000001</v>
      </c>
      <c r="P9" t="s">
        <v>21</v>
      </c>
      <c r="Q9" t="s">
        <v>20</v>
      </c>
      <c r="R9">
        <v>2.9000000000000001E-2</v>
      </c>
      <c r="S9" t="s">
        <v>21</v>
      </c>
      <c r="T9" t="s">
        <v>20</v>
      </c>
      <c r="U9">
        <v>2.1030000000000002</v>
      </c>
      <c r="V9" t="s">
        <v>21</v>
      </c>
      <c r="W9" t="s">
        <v>20</v>
      </c>
      <c r="X9">
        <v>1018.6</v>
      </c>
      <c r="Y9" t="s">
        <v>22</v>
      </c>
      <c r="Z9" t="s">
        <v>23</v>
      </c>
      <c r="AA9">
        <v>51.67</v>
      </c>
      <c r="AB9" t="s">
        <v>24</v>
      </c>
      <c r="AC9" t="s">
        <v>23</v>
      </c>
      <c r="AD9">
        <v>60.32</v>
      </c>
      <c r="AE9" t="s">
        <v>24</v>
      </c>
      <c r="AF9" t="s">
        <v>23</v>
      </c>
      <c r="AG9" t="s">
        <v>25</v>
      </c>
      <c r="AH9" s="5">
        <f t="shared" si="0"/>
        <v>57855</v>
      </c>
    </row>
    <row r="11" spans="1:34" ht="23.4" x14ac:dyDescent="0.45">
      <c r="A11" s="3" t="s">
        <v>231</v>
      </c>
      <c r="O11" s="4" t="s">
        <v>232</v>
      </c>
    </row>
    <row r="12" spans="1:34" x14ac:dyDescent="0.3">
      <c r="B12" t="s">
        <v>233</v>
      </c>
      <c r="C12">
        <f>L19</f>
        <v>108.29999999999995</v>
      </c>
      <c r="F12" t="s">
        <v>234</v>
      </c>
      <c r="G12" s="5">
        <f>C14</f>
        <v>0.29509536784741131</v>
      </c>
      <c r="M12" s="5"/>
      <c r="P12" t="s">
        <v>233</v>
      </c>
      <c r="Q12">
        <f>Z19</f>
        <v>4.0100000000000025E-2</v>
      </c>
      <c r="T12" t="s">
        <v>234</v>
      </c>
      <c r="U12" s="5">
        <f>Q14</f>
        <v>1.0926430517711179E-4</v>
      </c>
      <c r="AA12" s="7"/>
    </row>
    <row r="13" spans="1:34" x14ac:dyDescent="0.3">
      <c r="B13" t="s">
        <v>2</v>
      </c>
      <c r="C13" s="5">
        <f>M19</f>
        <v>367</v>
      </c>
      <c r="F13" t="s">
        <v>235</v>
      </c>
      <c r="G13" s="8">
        <v>9.6699999999999998E-3</v>
      </c>
      <c r="M13" s="5"/>
      <c r="P13" t="s">
        <v>2</v>
      </c>
      <c r="Q13" s="5">
        <f>AA19</f>
        <v>367</v>
      </c>
      <c r="T13" t="s">
        <v>235</v>
      </c>
      <c r="U13" s="8">
        <v>9.6699999999999998E-3</v>
      </c>
      <c r="AA13" s="7"/>
    </row>
    <row r="14" spans="1:34" x14ac:dyDescent="0.3">
      <c r="B14" t="s">
        <v>236</v>
      </c>
      <c r="C14" s="5">
        <f>C12/C13</f>
        <v>0.29509536784741131</v>
      </c>
      <c r="F14" t="s">
        <v>237</v>
      </c>
      <c r="G14">
        <f>22.4*10^-3</f>
        <v>2.24E-2</v>
      </c>
      <c r="M14" s="5"/>
      <c r="P14" t="s">
        <v>236</v>
      </c>
      <c r="Q14" s="9">
        <f>Q12/Q13</f>
        <v>1.0926430517711179E-4</v>
      </c>
      <c r="T14" t="s">
        <v>237</v>
      </c>
      <c r="U14">
        <f>22.4*10^-3</f>
        <v>2.24E-2</v>
      </c>
      <c r="AA14" s="7"/>
    </row>
    <row r="15" spans="1:34" x14ac:dyDescent="0.3">
      <c r="F15" s="10" t="s">
        <v>238</v>
      </c>
      <c r="G15" s="10">
        <v>12.8</v>
      </c>
      <c r="H15" t="s">
        <v>239</v>
      </c>
      <c r="I15">
        <f>G15+273</f>
        <v>285.8</v>
      </c>
      <c r="M15" s="5"/>
      <c r="T15" s="10" t="s">
        <v>238</v>
      </c>
      <c r="U15" s="10">
        <v>12.8</v>
      </c>
      <c r="V15" t="s">
        <v>239</v>
      </c>
      <c r="W15">
        <f>U15+273</f>
        <v>285.8</v>
      </c>
      <c r="AA15" s="7"/>
    </row>
    <row r="16" spans="1:34" x14ac:dyDescent="0.3">
      <c r="F16" t="s">
        <v>240</v>
      </c>
      <c r="G16">
        <v>273</v>
      </c>
      <c r="M16" s="5"/>
      <c r="T16" t="s">
        <v>240</v>
      </c>
      <c r="U16">
        <v>273</v>
      </c>
      <c r="AA16" s="7"/>
    </row>
    <row r="17" spans="6:27" x14ac:dyDescent="0.3">
      <c r="F17" t="s">
        <v>241</v>
      </c>
      <c r="G17">
        <v>3.1399999999999997E-2</v>
      </c>
      <c r="M17" s="5"/>
      <c r="T17" t="s">
        <v>241</v>
      </c>
      <c r="U17">
        <v>3.1399999999999997E-2</v>
      </c>
      <c r="AA17" s="7"/>
    </row>
    <row r="18" spans="6:27" x14ac:dyDescent="0.3">
      <c r="L18" s="14" t="s">
        <v>247</v>
      </c>
      <c r="M18" s="15" t="s">
        <v>248</v>
      </c>
      <c r="Z18" s="14" t="s">
        <v>249</v>
      </c>
      <c r="AA18" s="16" t="s">
        <v>248</v>
      </c>
    </row>
    <row r="19" spans="6:27" x14ac:dyDescent="0.3">
      <c r="F19" t="s">
        <v>242</v>
      </c>
      <c r="G19">
        <f>G16/I15</f>
        <v>0.95521343596920916</v>
      </c>
      <c r="L19">
        <f>I9-I2</f>
        <v>108.29999999999995</v>
      </c>
      <c r="M19" s="7">
        <f>AH9-AH3</f>
        <v>367</v>
      </c>
      <c r="T19" t="s">
        <v>242</v>
      </c>
      <c r="U19">
        <f>U16/W15</f>
        <v>0.95521343596920916</v>
      </c>
      <c r="Z19">
        <f>O9-O3</f>
        <v>4.0100000000000025E-2</v>
      </c>
      <c r="AA19" s="7">
        <f>AH9-AH3</f>
        <v>367</v>
      </c>
    </row>
    <row r="20" spans="6:27" x14ac:dyDescent="0.3">
      <c r="F20" t="s">
        <v>243</v>
      </c>
      <c r="G20">
        <f>1/G17</f>
        <v>31.847133757961785</v>
      </c>
      <c r="M20" s="11">
        <f>M19/60</f>
        <v>6.1166666666666663</v>
      </c>
      <c r="T20" t="s">
        <v>243</v>
      </c>
      <c r="U20">
        <f>1/U17</f>
        <v>31.847133757961785</v>
      </c>
      <c r="AA20" s="11"/>
    </row>
    <row r="21" spans="6:27" x14ac:dyDescent="0.3">
      <c r="F21" t="s">
        <v>244</v>
      </c>
      <c r="G21">
        <f>G14/G19</f>
        <v>2.3450256410256411E-2</v>
      </c>
      <c r="T21" t="s">
        <v>244</v>
      </c>
      <c r="U21">
        <f>U14/U19</f>
        <v>2.3450256410256411E-2</v>
      </c>
      <c r="AA21" s="7"/>
    </row>
    <row r="22" spans="6:27" x14ac:dyDescent="0.3">
      <c r="L22" s="6">
        <f>(L19/M19)*(G13/G14)/G17</f>
        <v>4.0570578467420209</v>
      </c>
      <c r="Z22" s="6">
        <f>(Z19/AA19)*(U13/U14)/U17</f>
        <v>1.5021977807419687E-3</v>
      </c>
      <c r="AA22" s="7"/>
    </row>
    <row r="23" spans="6:27" x14ac:dyDescent="0.3">
      <c r="F23" s="10">
        <f>(G12)*(G13/G21)*(G20)</f>
        <v>3.8753561657122861</v>
      </c>
      <c r="T23" s="10">
        <f>(U12)*(U13/U21)*(U20)</f>
        <v>1.4349195036478565E-3</v>
      </c>
      <c r="AA23" s="7"/>
    </row>
    <row r="25" spans="6:27" x14ac:dyDescent="0.3">
      <c r="Y25" s="12" t="s">
        <v>245</v>
      </c>
      <c r="Z25" s="12">
        <f>Z22*298</f>
        <v>0.44765493866110667</v>
      </c>
      <c r="AA25" s="7"/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1EAC5-0CBB-44DE-A845-98F778129803}">
  <dimension ref="A1:AH26"/>
  <sheetViews>
    <sheetView topLeftCell="A10" workbookViewId="0">
      <selection activeCell="L29" sqref="L29"/>
    </sheetView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</v>
      </c>
      <c r="K1" t="s">
        <v>7</v>
      </c>
      <c r="L1" t="s">
        <v>9</v>
      </c>
      <c r="M1" t="s">
        <v>6</v>
      </c>
      <c r="N1" t="s">
        <v>7</v>
      </c>
      <c r="O1" t="s">
        <v>10</v>
      </c>
      <c r="P1" t="s">
        <v>6</v>
      </c>
      <c r="Q1" t="s">
        <v>7</v>
      </c>
      <c r="R1" t="s">
        <v>11</v>
      </c>
      <c r="S1" t="s">
        <v>6</v>
      </c>
      <c r="T1" t="s">
        <v>7</v>
      </c>
      <c r="U1" t="s">
        <v>12</v>
      </c>
      <c r="V1" t="s">
        <v>6</v>
      </c>
      <c r="W1" t="s">
        <v>7</v>
      </c>
      <c r="X1" t="s">
        <v>13</v>
      </c>
      <c r="Y1" t="s">
        <v>6</v>
      </c>
      <c r="Z1" t="s">
        <v>7</v>
      </c>
      <c r="AA1" t="s">
        <v>14</v>
      </c>
      <c r="AB1" t="s">
        <v>6</v>
      </c>
      <c r="AC1" t="s">
        <v>7</v>
      </c>
      <c r="AD1" t="s">
        <v>15</v>
      </c>
      <c r="AE1" t="s">
        <v>6</v>
      </c>
      <c r="AF1" t="s">
        <v>7</v>
      </c>
      <c r="AG1" t="s">
        <v>16</v>
      </c>
      <c r="AH1" t="s">
        <v>246</v>
      </c>
    </row>
    <row r="2" spans="1:34" x14ac:dyDescent="0.3">
      <c r="A2">
        <v>0</v>
      </c>
      <c r="B2" s="1">
        <v>45777</v>
      </c>
      <c r="C2" s="2">
        <v>0.67150462962962965</v>
      </c>
      <c r="D2" t="s">
        <v>223</v>
      </c>
      <c r="E2" t="s">
        <v>18</v>
      </c>
      <c r="F2">
        <v>1.67</v>
      </c>
      <c r="G2" t="s">
        <v>19</v>
      </c>
      <c r="H2" t="s">
        <v>20</v>
      </c>
      <c r="I2">
        <v>510.68</v>
      </c>
      <c r="J2" t="s">
        <v>21</v>
      </c>
      <c r="K2" t="s">
        <v>20</v>
      </c>
      <c r="L2">
        <v>4.0609999999999999</v>
      </c>
      <c r="M2" t="s">
        <v>21</v>
      </c>
      <c r="N2" t="s">
        <v>20</v>
      </c>
      <c r="O2">
        <v>0.44219999999999998</v>
      </c>
      <c r="P2" t="s">
        <v>21</v>
      </c>
      <c r="Q2" t="s">
        <v>20</v>
      </c>
      <c r="R2">
        <v>2.9000000000000001E-2</v>
      </c>
      <c r="S2" t="s">
        <v>21</v>
      </c>
      <c r="T2" t="s">
        <v>20</v>
      </c>
      <c r="U2">
        <v>2.1139999999999999</v>
      </c>
      <c r="V2" t="s">
        <v>21</v>
      </c>
      <c r="W2" t="s">
        <v>20</v>
      </c>
      <c r="X2">
        <v>1018.5</v>
      </c>
      <c r="Y2" t="s">
        <v>22</v>
      </c>
      <c r="Z2" t="s">
        <v>23</v>
      </c>
      <c r="AA2">
        <v>51.45</v>
      </c>
      <c r="AB2" t="s">
        <v>24</v>
      </c>
      <c r="AC2" t="s">
        <v>23</v>
      </c>
      <c r="AD2">
        <v>59.99</v>
      </c>
      <c r="AE2" t="s">
        <v>24</v>
      </c>
      <c r="AF2" t="s">
        <v>23</v>
      </c>
      <c r="AG2" t="s">
        <v>25</v>
      </c>
      <c r="AH2" s="5">
        <f>HOUR(C2)*3600 + MINUTE(C2)*60 + SECOND(C2)</f>
        <v>58018</v>
      </c>
    </row>
    <row r="3" spans="1:34" x14ac:dyDescent="0.3">
      <c r="A3">
        <v>0</v>
      </c>
      <c r="B3" s="1">
        <v>45777</v>
      </c>
      <c r="C3" s="2">
        <v>0.67221064814814813</v>
      </c>
      <c r="D3" t="s">
        <v>224</v>
      </c>
      <c r="E3" t="s">
        <v>18</v>
      </c>
      <c r="F3">
        <v>1.64</v>
      </c>
      <c r="G3" t="s">
        <v>19</v>
      </c>
      <c r="H3" t="s">
        <v>20</v>
      </c>
      <c r="I3" s="14">
        <v>501.44</v>
      </c>
      <c r="J3" t="s">
        <v>21</v>
      </c>
      <c r="K3" t="s">
        <v>20</v>
      </c>
      <c r="L3">
        <v>4.04</v>
      </c>
      <c r="M3" t="s">
        <v>21</v>
      </c>
      <c r="N3" t="s">
        <v>20</v>
      </c>
      <c r="O3" s="14">
        <v>0.44740000000000002</v>
      </c>
      <c r="P3" t="s">
        <v>21</v>
      </c>
      <c r="Q3" t="s">
        <v>20</v>
      </c>
      <c r="R3">
        <v>4.4999999999999998E-2</v>
      </c>
      <c r="S3" t="s">
        <v>21</v>
      </c>
      <c r="T3" t="s">
        <v>20</v>
      </c>
      <c r="U3">
        <v>2.1080000000000001</v>
      </c>
      <c r="V3" t="s">
        <v>21</v>
      </c>
      <c r="W3" t="s">
        <v>20</v>
      </c>
      <c r="X3">
        <v>1018.6</v>
      </c>
      <c r="Y3" t="s">
        <v>22</v>
      </c>
      <c r="Z3" t="s">
        <v>23</v>
      </c>
      <c r="AA3">
        <v>51.38</v>
      </c>
      <c r="AB3" t="s">
        <v>24</v>
      </c>
      <c r="AC3" t="s">
        <v>23</v>
      </c>
      <c r="AD3">
        <v>59.91</v>
      </c>
      <c r="AE3" t="s">
        <v>24</v>
      </c>
      <c r="AF3" t="s">
        <v>23</v>
      </c>
      <c r="AG3" t="s">
        <v>25</v>
      </c>
      <c r="AH3" s="5">
        <f t="shared" ref="AH3:AH9" si="0">HOUR(C3)*3600 + MINUTE(C3)*60 + SECOND(C3)</f>
        <v>58079</v>
      </c>
    </row>
    <row r="4" spans="1:34" x14ac:dyDescent="0.3">
      <c r="A4">
        <v>0</v>
      </c>
      <c r="B4" s="1">
        <v>45777</v>
      </c>
      <c r="C4" s="2">
        <v>0.67291666666666672</v>
      </c>
      <c r="D4" t="s">
        <v>225</v>
      </c>
      <c r="E4" t="s">
        <v>18</v>
      </c>
      <c r="F4">
        <v>1.71</v>
      </c>
      <c r="G4" t="s">
        <v>19</v>
      </c>
      <c r="H4" t="s">
        <v>20</v>
      </c>
      <c r="I4" s="14">
        <v>522.48</v>
      </c>
      <c r="J4" t="s">
        <v>21</v>
      </c>
      <c r="K4" t="s">
        <v>20</v>
      </c>
      <c r="L4">
        <v>4.0140000000000002</v>
      </c>
      <c r="M4" t="s">
        <v>21</v>
      </c>
      <c r="N4" t="s">
        <v>20</v>
      </c>
      <c r="O4" s="14">
        <v>0.45440000000000003</v>
      </c>
      <c r="P4" t="s">
        <v>21</v>
      </c>
      <c r="Q4" t="s">
        <v>20</v>
      </c>
      <c r="R4">
        <v>8.4000000000000005E-2</v>
      </c>
      <c r="S4" t="s">
        <v>21</v>
      </c>
      <c r="T4" t="s">
        <v>20</v>
      </c>
      <c r="U4">
        <v>2.1190000000000002</v>
      </c>
      <c r="V4" t="s">
        <v>21</v>
      </c>
      <c r="W4" t="s">
        <v>20</v>
      </c>
      <c r="X4">
        <v>1018.5</v>
      </c>
      <c r="Y4" t="s">
        <v>22</v>
      </c>
      <c r="Z4" t="s">
        <v>23</v>
      </c>
      <c r="AA4">
        <v>51.39</v>
      </c>
      <c r="AB4" t="s">
        <v>24</v>
      </c>
      <c r="AC4" t="s">
        <v>23</v>
      </c>
      <c r="AD4">
        <v>59.82</v>
      </c>
      <c r="AE4" t="s">
        <v>24</v>
      </c>
      <c r="AF4" t="s">
        <v>23</v>
      </c>
      <c r="AG4" t="s">
        <v>25</v>
      </c>
      <c r="AH4" s="5">
        <f t="shared" si="0"/>
        <v>58140</v>
      </c>
    </row>
    <row r="5" spans="1:34" x14ac:dyDescent="0.3">
      <c r="A5">
        <v>0</v>
      </c>
      <c r="B5" s="1">
        <v>45777</v>
      </c>
      <c r="C5" s="2">
        <v>0.6736226851851852</v>
      </c>
      <c r="D5" t="s">
        <v>226</v>
      </c>
      <c r="E5" t="s">
        <v>18</v>
      </c>
      <c r="F5">
        <v>1.76</v>
      </c>
      <c r="G5" t="s">
        <v>19</v>
      </c>
      <c r="H5" t="s">
        <v>20</v>
      </c>
      <c r="I5" s="14">
        <v>545.91</v>
      </c>
      <c r="J5" t="s">
        <v>21</v>
      </c>
      <c r="K5" t="s">
        <v>20</v>
      </c>
      <c r="L5">
        <v>4.0519999999999996</v>
      </c>
      <c r="M5" t="s">
        <v>21</v>
      </c>
      <c r="N5" t="s">
        <v>20</v>
      </c>
      <c r="O5" s="14">
        <v>0.46489999999999998</v>
      </c>
      <c r="P5" t="s">
        <v>21</v>
      </c>
      <c r="Q5" t="s">
        <v>20</v>
      </c>
      <c r="R5">
        <v>1.0999999999999999E-2</v>
      </c>
      <c r="S5" t="s">
        <v>21</v>
      </c>
      <c r="T5" t="s">
        <v>20</v>
      </c>
      <c r="U5">
        <v>2.105</v>
      </c>
      <c r="V5" t="s">
        <v>21</v>
      </c>
      <c r="W5" t="s">
        <v>20</v>
      </c>
      <c r="X5">
        <v>1018.5</v>
      </c>
      <c r="Y5" t="s">
        <v>22</v>
      </c>
      <c r="Z5" t="s">
        <v>23</v>
      </c>
      <c r="AA5">
        <v>51.45</v>
      </c>
      <c r="AB5" t="s">
        <v>24</v>
      </c>
      <c r="AC5" t="s">
        <v>23</v>
      </c>
      <c r="AD5">
        <v>59.8</v>
      </c>
      <c r="AE5" t="s">
        <v>24</v>
      </c>
      <c r="AF5" t="s">
        <v>23</v>
      </c>
      <c r="AG5" t="s">
        <v>25</v>
      </c>
      <c r="AH5" s="5">
        <f t="shared" si="0"/>
        <v>58201</v>
      </c>
    </row>
    <row r="6" spans="1:34" x14ac:dyDescent="0.3">
      <c r="A6">
        <v>0</v>
      </c>
      <c r="B6" s="1">
        <v>45777</v>
      </c>
      <c r="C6" s="2">
        <v>0.67432870370370368</v>
      </c>
      <c r="D6" t="s">
        <v>227</v>
      </c>
      <c r="E6" t="s">
        <v>18</v>
      </c>
      <c r="F6">
        <v>1.81</v>
      </c>
      <c r="G6" t="s">
        <v>19</v>
      </c>
      <c r="H6" t="s">
        <v>20</v>
      </c>
      <c r="I6" s="14">
        <v>570.9</v>
      </c>
      <c r="J6" t="s">
        <v>21</v>
      </c>
      <c r="K6" t="s">
        <v>20</v>
      </c>
      <c r="L6">
        <v>4.1109999999999998</v>
      </c>
      <c r="M6" t="s">
        <v>21</v>
      </c>
      <c r="N6" t="s">
        <v>20</v>
      </c>
      <c r="O6" s="14">
        <v>0.48299999999999998</v>
      </c>
      <c r="P6" t="s">
        <v>21</v>
      </c>
      <c r="Q6" t="s">
        <v>20</v>
      </c>
      <c r="R6">
        <v>7.1999999999999995E-2</v>
      </c>
      <c r="S6" t="s">
        <v>21</v>
      </c>
      <c r="T6" t="s">
        <v>20</v>
      </c>
      <c r="U6">
        <v>2.1040000000000001</v>
      </c>
      <c r="V6" t="s">
        <v>21</v>
      </c>
      <c r="W6" t="s">
        <v>20</v>
      </c>
      <c r="X6">
        <v>1018.4</v>
      </c>
      <c r="Y6" t="s">
        <v>22</v>
      </c>
      <c r="Z6" t="s">
        <v>23</v>
      </c>
      <c r="AA6">
        <v>51.45</v>
      </c>
      <c r="AB6" t="s">
        <v>24</v>
      </c>
      <c r="AC6" t="s">
        <v>23</v>
      </c>
      <c r="AD6">
        <v>59.82</v>
      </c>
      <c r="AE6" t="s">
        <v>24</v>
      </c>
      <c r="AF6" t="s">
        <v>23</v>
      </c>
      <c r="AG6" t="s">
        <v>25</v>
      </c>
      <c r="AH6" s="5">
        <f t="shared" si="0"/>
        <v>58262</v>
      </c>
    </row>
    <row r="7" spans="1:34" x14ac:dyDescent="0.3">
      <c r="A7">
        <v>0</v>
      </c>
      <c r="B7" s="1">
        <v>45777</v>
      </c>
      <c r="C7" s="2">
        <v>0.67504629629629631</v>
      </c>
      <c r="D7" t="s">
        <v>228</v>
      </c>
      <c r="E7" t="s">
        <v>18</v>
      </c>
      <c r="F7">
        <v>1.86</v>
      </c>
      <c r="G7" t="s">
        <v>19</v>
      </c>
      <c r="H7" t="s">
        <v>20</v>
      </c>
      <c r="I7" s="14">
        <v>591.16</v>
      </c>
      <c r="J7" t="s">
        <v>21</v>
      </c>
      <c r="K7" t="s">
        <v>20</v>
      </c>
      <c r="L7">
        <v>4.1529999999999996</v>
      </c>
      <c r="M7" t="s">
        <v>21</v>
      </c>
      <c r="N7" t="s">
        <v>20</v>
      </c>
      <c r="O7" s="14">
        <v>0.49120000000000003</v>
      </c>
      <c r="P7" t="s">
        <v>21</v>
      </c>
      <c r="Q7" t="s">
        <v>20</v>
      </c>
      <c r="R7">
        <v>6.7000000000000004E-2</v>
      </c>
      <c r="S7" t="s">
        <v>21</v>
      </c>
      <c r="T7" t="s">
        <v>20</v>
      </c>
      <c r="U7">
        <v>2.1080000000000001</v>
      </c>
      <c r="V7" t="s">
        <v>21</v>
      </c>
      <c r="W7" t="s">
        <v>20</v>
      </c>
      <c r="X7">
        <v>1018.5</v>
      </c>
      <c r="Y7" t="s">
        <v>22</v>
      </c>
      <c r="Z7" t="s">
        <v>23</v>
      </c>
      <c r="AA7">
        <v>51.5</v>
      </c>
      <c r="AB7" t="s">
        <v>24</v>
      </c>
      <c r="AC7" t="s">
        <v>23</v>
      </c>
      <c r="AD7">
        <v>59.91</v>
      </c>
      <c r="AE7" t="s">
        <v>24</v>
      </c>
      <c r="AF7" t="s">
        <v>23</v>
      </c>
      <c r="AG7" t="s">
        <v>25</v>
      </c>
      <c r="AH7" s="5">
        <f t="shared" si="0"/>
        <v>58324</v>
      </c>
    </row>
    <row r="8" spans="1:34" x14ac:dyDescent="0.3">
      <c r="A8">
        <v>0</v>
      </c>
      <c r="B8" s="1">
        <v>45777</v>
      </c>
      <c r="C8" s="2">
        <v>0.67575231481481479</v>
      </c>
      <c r="D8" t="s">
        <v>229</v>
      </c>
      <c r="E8" t="s">
        <v>18</v>
      </c>
      <c r="F8">
        <v>1.9</v>
      </c>
      <c r="G8" t="s">
        <v>19</v>
      </c>
      <c r="H8" t="s">
        <v>20</v>
      </c>
      <c r="I8" s="14">
        <v>614.33000000000004</v>
      </c>
      <c r="J8" t="s">
        <v>21</v>
      </c>
      <c r="K8" t="s">
        <v>20</v>
      </c>
      <c r="L8">
        <v>4.1779999999999999</v>
      </c>
      <c r="M8" t="s">
        <v>21</v>
      </c>
      <c r="N8" t="s">
        <v>20</v>
      </c>
      <c r="O8" s="14">
        <v>0.50470000000000004</v>
      </c>
      <c r="P8" t="s">
        <v>21</v>
      </c>
      <c r="Q8" t="s">
        <v>20</v>
      </c>
      <c r="R8">
        <v>2.4E-2</v>
      </c>
      <c r="S8" t="s">
        <v>21</v>
      </c>
      <c r="T8" t="s">
        <v>20</v>
      </c>
      <c r="U8">
        <v>2.121</v>
      </c>
      <c r="V8" t="s">
        <v>21</v>
      </c>
      <c r="W8" t="s">
        <v>20</v>
      </c>
      <c r="X8">
        <v>1018.5</v>
      </c>
      <c r="Y8" t="s">
        <v>22</v>
      </c>
      <c r="Z8" t="s">
        <v>23</v>
      </c>
      <c r="AA8">
        <v>51.62</v>
      </c>
      <c r="AB8" t="s">
        <v>24</v>
      </c>
      <c r="AC8" t="s">
        <v>23</v>
      </c>
      <c r="AD8">
        <v>59.99</v>
      </c>
      <c r="AE8" t="s">
        <v>24</v>
      </c>
      <c r="AF8" t="s">
        <v>23</v>
      </c>
      <c r="AG8" t="s">
        <v>25</v>
      </c>
      <c r="AH8" s="5">
        <f t="shared" si="0"/>
        <v>58385</v>
      </c>
    </row>
    <row r="9" spans="1:34" x14ac:dyDescent="0.3">
      <c r="A9">
        <v>0</v>
      </c>
      <c r="B9" s="1">
        <v>45777</v>
      </c>
      <c r="C9" s="2">
        <v>0.67644675925925923</v>
      </c>
      <c r="D9" t="s">
        <v>230</v>
      </c>
      <c r="E9" t="s">
        <v>18</v>
      </c>
      <c r="F9">
        <v>1.95</v>
      </c>
      <c r="G9" t="s">
        <v>19</v>
      </c>
      <c r="H9" t="s">
        <v>20</v>
      </c>
      <c r="I9" s="14">
        <v>632.74</v>
      </c>
      <c r="J9" t="s">
        <v>21</v>
      </c>
      <c r="K9" t="s">
        <v>20</v>
      </c>
      <c r="L9">
        <v>4.1790000000000003</v>
      </c>
      <c r="M9" t="s">
        <v>21</v>
      </c>
      <c r="N9" t="s">
        <v>20</v>
      </c>
      <c r="O9" s="14">
        <v>0.50719999999999998</v>
      </c>
      <c r="P9" t="s">
        <v>21</v>
      </c>
      <c r="Q9" t="s">
        <v>20</v>
      </c>
      <c r="R9">
        <v>0.13500000000000001</v>
      </c>
      <c r="S9" t="s">
        <v>21</v>
      </c>
      <c r="T9" t="s">
        <v>20</v>
      </c>
      <c r="U9">
        <v>2.1160000000000001</v>
      </c>
      <c r="V9" t="s">
        <v>21</v>
      </c>
      <c r="W9" t="s">
        <v>20</v>
      </c>
      <c r="X9">
        <v>1018.4</v>
      </c>
      <c r="Y9" t="s">
        <v>22</v>
      </c>
      <c r="Z9" t="s">
        <v>23</v>
      </c>
      <c r="AA9">
        <v>51.68</v>
      </c>
      <c r="AB9" t="s">
        <v>24</v>
      </c>
      <c r="AC9" t="s">
        <v>23</v>
      </c>
      <c r="AD9">
        <v>60.11</v>
      </c>
      <c r="AE9" t="s">
        <v>24</v>
      </c>
      <c r="AF9" t="s">
        <v>23</v>
      </c>
      <c r="AG9" t="s">
        <v>25</v>
      </c>
      <c r="AH9" s="5">
        <f t="shared" si="0"/>
        <v>58445</v>
      </c>
    </row>
    <row r="10" spans="1:34" x14ac:dyDescent="0.3">
      <c r="O10" s="14"/>
    </row>
    <row r="12" spans="1:34" ht="23.4" x14ac:dyDescent="0.45">
      <c r="A12" s="3" t="s">
        <v>231</v>
      </c>
      <c r="O12" s="4" t="s">
        <v>232</v>
      </c>
    </row>
    <row r="13" spans="1:34" x14ac:dyDescent="0.3">
      <c r="B13" t="s">
        <v>233</v>
      </c>
      <c r="C13">
        <f>L20</f>
        <v>131.30000000000001</v>
      </c>
      <c r="F13" t="s">
        <v>234</v>
      </c>
      <c r="G13" s="5">
        <f>C15</f>
        <v>0.35776566757493189</v>
      </c>
      <c r="M13" s="5"/>
      <c r="P13" t="s">
        <v>233</v>
      </c>
      <c r="Q13">
        <f>Z20</f>
        <v>5.9799999999999964E-2</v>
      </c>
      <c r="T13" t="s">
        <v>234</v>
      </c>
      <c r="U13" s="5">
        <f>Q15</f>
        <v>1.633879781420764E-4</v>
      </c>
      <c r="AA13" s="7"/>
    </row>
    <row r="14" spans="1:34" x14ac:dyDescent="0.3">
      <c r="B14" t="s">
        <v>2</v>
      </c>
      <c r="C14" s="5">
        <f>M20</f>
        <v>367</v>
      </c>
      <c r="F14" t="s">
        <v>235</v>
      </c>
      <c r="G14" s="8">
        <v>9.6699999999999998E-3</v>
      </c>
      <c r="M14" s="5"/>
      <c r="P14" t="s">
        <v>2</v>
      </c>
      <c r="Q14" s="5">
        <f>AA20</f>
        <v>366</v>
      </c>
      <c r="T14" t="s">
        <v>235</v>
      </c>
      <c r="U14" s="8">
        <v>9.6699999999999998E-3</v>
      </c>
      <c r="AA14" s="7"/>
    </row>
    <row r="15" spans="1:34" x14ac:dyDescent="0.3">
      <c r="B15" t="s">
        <v>236</v>
      </c>
      <c r="C15" s="5">
        <f>C13/C14</f>
        <v>0.35776566757493189</v>
      </c>
      <c r="F15" t="s">
        <v>237</v>
      </c>
      <c r="G15">
        <f>22.4*10^-3</f>
        <v>2.24E-2</v>
      </c>
      <c r="M15" s="5"/>
      <c r="P15" t="s">
        <v>236</v>
      </c>
      <c r="Q15" s="9">
        <f>Q13/Q14</f>
        <v>1.633879781420764E-4</v>
      </c>
      <c r="T15" t="s">
        <v>237</v>
      </c>
      <c r="U15">
        <f>22.4*10^-3</f>
        <v>2.24E-2</v>
      </c>
      <c r="AA15" s="7"/>
    </row>
    <row r="16" spans="1:34" x14ac:dyDescent="0.3">
      <c r="F16" s="10" t="s">
        <v>238</v>
      </c>
      <c r="G16" s="10">
        <v>12.8</v>
      </c>
      <c r="H16" t="s">
        <v>239</v>
      </c>
      <c r="I16">
        <f>G16+273</f>
        <v>285.8</v>
      </c>
      <c r="M16" s="5"/>
      <c r="T16" s="10" t="s">
        <v>238</v>
      </c>
      <c r="U16" s="10">
        <v>12.8</v>
      </c>
      <c r="V16" t="s">
        <v>239</v>
      </c>
      <c r="W16">
        <f>U16+273</f>
        <v>285.8</v>
      </c>
      <c r="AA16" s="7"/>
    </row>
    <row r="17" spans="6:27" x14ac:dyDescent="0.3">
      <c r="F17" t="s">
        <v>240</v>
      </c>
      <c r="G17">
        <v>273</v>
      </c>
      <c r="M17" s="5"/>
      <c r="T17" t="s">
        <v>240</v>
      </c>
      <c r="U17">
        <v>273</v>
      </c>
      <c r="AA17" s="7"/>
    </row>
    <row r="18" spans="6:27" x14ac:dyDescent="0.3">
      <c r="F18" t="s">
        <v>241</v>
      </c>
      <c r="G18">
        <v>3.1399999999999997E-2</v>
      </c>
      <c r="M18" s="5"/>
      <c r="T18" t="s">
        <v>241</v>
      </c>
      <c r="U18">
        <v>3.1399999999999997E-2</v>
      </c>
      <c r="AA18" s="7"/>
    </row>
    <row r="19" spans="6:27" x14ac:dyDescent="0.3">
      <c r="L19" s="14" t="s">
        <v>247</v>
      </c>
      <c r="M19" s="15" t="s">
        <v>248</v>
      </c>
      <c r="Z19" s="14" t="s">
        <v>249</v>
      </c>
      <c r="AA19" s="16" t="s">
        <v>248</v>
      </c>
    </row>
    <row r="20" spans="6:27" x14ac:dyDescent="0.3">
      <c r="F20" t="s">
        <v>242</v>
      </c>
      <c r="G20">
        <f>G17/I16</f>
        <v>0.95521343596920916</v>
      </c>
      <c r="L20">
        <f>I9-I3</f>
        <v>131.30000000000001</v>
      </c>
      <c r="M20" s="7">
        <f>AH8-AH2</f>
        <v>367</v>
      </c>
      <c r="T20" t="s">
        <v>242</v>
      </c>
      <c r="U20">
        <f>U17/W16</f>
        <v>0.95521343596920916</v>
      </c>
      <c r="Z20">
        <f>O9-O3</f>
        <v>5.9799999999999964E-2</v>
      </c>
      <c r="AA20" s="7">
        <f>AH9-AH3</f>
        <v>366</v>
      </c>
    </row>
    <row r="21" spans="6:27" x14ac:dyDescent="0.3">
      <c r="F21" t="s">
        <v>243</v>
      </c>
      <c r="G21">
        <f>1/G18</f>
        <v>31.847133757961785</v>
      </c>
      <c r="M21" s="11">
        <f>M20/60</f>
        <v>6.1166666666666663</v>
      </c>
      <c r="T21" t="s">
        <v>243</v>
      </c>
      <c r="U21">
        <f>1/U18</f>
        <v>31.847133757961785</v>
      </c>
      <c r="AA21" s="11"/>
    </row>
    <row r="22" spans="6:27" x14ac:dyDescent="0.3">
      <c r="F22" t="s">
        <v>244</v>
      </c>
      <c r="G22">
        <f>G15/G20</f>
        <v>2.3450256410256411E-2</v>
      </c>
      <c r="T22" t="s">
        <v>244</v>
      </c>
      <c r="U22">
        <f>U15/U20</f>
        <v>2.3450256410256411E-2</v>
      </c>
      <c r="AA22" s="7"/>
    </row>
    <row r="23" spans="6:27" x14ac:dyDescent="0.3">
      <c r="L23" s="6">
        <f>(L20/M20)*(G14/G15)/G18</f>
        <v>4.9186675464194609</v>
      </c>
      <c r="Z23" s="6">
        <f>(Z20/AA20)*(U14/U15)/U18</f>
        <v>2.2463059438038542E-3</v>
      </c>
      <c r="AA23" s="7"/>
    </row>
    <row r="24" spans="6:27" x14ac:dyDescent="0.3">
      <c r="F24" s="10">
        <f>(G13)*(G14/G22)*(G21)</f>
        <v>4.6983773274055727</v>
      </c>
      <c r="T24" s="10">
        <f>(U13)*(U14/U22)*(U21)</f>
        <v>2.1457016188189365E-3</v>
      </c>
      <c r="AA24" s="7"/>
    </row>
    <row r="26" spans="6:27" x14ac:dyDescent="0.3">
      <c r="Y26" s="12" t="s">
        <v>245</v>
      </c>
      <c r="Z26" s="12">
        <f>Z23*298</f>
        <v>0.66939917125354853</v>
      </c>
      <c r="AA26" s="7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0ECD46D640804BAFC3393184DFA176" ma:contentTypeVersion="18" ma:contentTypeDescription="Create a new document." ma:contentTypeScope="" ma:versionID="a8c8b5e459cdee1624ca291fcc06ad07">
  <xsd:schema xmlns:xsd="http://www.w3.org/2001/XMLSchema" xmlns:xs="http://www.w3.org/2001/XMLSchema" xmlns:p="http://schemas.microsoft.com/office/2006/metadata/properties" xmlns:ns2="28e6b94a-ef96-4531-9133-9acbd7f9a5b6" xmlns:ns3="84e4e80c-1d95-445f-a3b0-74d452ccfab1" targetNamespace="http://schemas.microsoft.com/office/2006/metadata/properties" ma:root="true" ma:fieldsID="a3401d0fdd583c462f2d62f4659c1f78" ns2:_="" ns3:_="">
    <xsd:import namespace="28e6b94a-ef96-4531-9133-9acbd7f9a5b6"/>
    <xsd:import namespace="84e4e80c-1d95-445f-a3b0-74d452ccfab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e6b94a-ef96-4531-9133-9acbd7f9a5b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9550a6d-2193-4f1d-80d5-8790671f24f2}" ma:internalName="TaxCatchAll" ma:showField="CatchAllData" ma:web="28e6b94a-ef96-4531-9133-9acbd7f9a5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e4e80c-1d95-445f-a3b0-74d452ccfa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a3a51c6-da2c-4d99-add4-391d2d2c60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e4e80c-1d95-445f-a3b0-74d452ccfab1">
      <Terms xmlns="http://schemas.microsoft.com/office/infopath/2007/PartnerControls"/>
    </lcf76f155ced4ddcb4097134ff3c332f>
    <TaxCatchAll xmlns="28e6b94a-ef96-4531-9133-9acbd7f9a5b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5F4E2C-581D-4047-87F6-7E7635EF26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e6b94a-ef96-4531-9133-9acbd7f9a5b6"/>
    <ds:schemaRef ds:uri="84e4e80c-1d95-445f-a3b0-74d452ccfa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DBB6C3-0025-4DBF-BC47-487829E385B4}">
  <ds:schemaRefs>
    <ds:schemaRef ds:uri="http://schemas.microsoft.com/office/2006/metadata/properties"/>
    <ds:schemaRef ds:uri="http://schemas.microsoft.com/office/infopath/2007/PartnerControls"/>
    <ds:schemaRef ds:uri="84e4e80c-1d95-445f-a3b0-74d452ccfab1"/>
    <ds:schemaRef ds:uri="28e6b94a-ef96-4531-9133-9acbd7f9a5b6"/>
  </ds:schemaRefs>
</ds:datastoreItem>
</file>

<file path=customXml/itemProps3.xml><?xml version="1.0" encoding="utf-8"?>
<ds:datastoreItem xmlns:ds="http://schemas.openxmlformats.org/officeDocument/2006/customXml" ds:itemID="{E15FA72F-B232-40C1-BA88-D892AD0268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</vt:lpstr>
      <vt:lpstr>101</vt:lpstr>
      <vt:lpstr>102</vt:lpstr>
      <vt:lpstr>103</vt:lpstr>
      <vt:lpstr>104</vt:lpstr>
      <vt:lpstr>105</vt:lpstr>
      <vt:lpstr>106</vt:lpstr>
      <vt:lpstr>201</vt:lpstr>
      <vt:lpstr>202</vt:lpstr>
      <vt:lpstr>203</vt:lpstr>
      <vt:lpstr>204</vt:lpstr>
      <vt:lpstr>205</vt:lpstr>
      <vt:lpstr>206</vt:lpstr>
      <vt:lpstr>301</vt:lpstr>
      <vt:lpstr>302</vt:lpstr>
      <vt:lpstr>303</vt:lpstr>
      <vt:lpstr>304</vt:lpstr>
      <vt:lpstr>305</vt:lpstr>
      <vt:lpstr>306</vt:lpstr>
      <vt:lpstr>401</vt:lpstr>
      <vt:lpstr>402</vt:lpstr>
      <vt:lpstr>403</vt:lpstr>
      <vt:lpstr>404</vt:lpstr>
      <vt:lpstr>405</vt:lpstr>
      <vt:lpstr>406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Eleanor Towler</dc:creator>
  <cp:lastModifiedBy>Euan Cawston (TSL)</cp:lastModifiedBy>
  <dcterms:created xsi:type="dcterms:W3CDTF">2025-05-02T10:49:27Z</dcterms:created>
  <dcterms:modified xsi:type="dcterms:W3CDTF">2026-04-13T15:35:57Z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0x010100A50ECD46D640804BAFC3393184DFA176</vt:lpwstr>
  </property>
  <property fmtid="{D5CDD505-2E9C-101B-9397-08002B2CF9AE}" pid="3" name="MediaServiceImageTags">
    <vt:lpwstr/>
  </property>
</Properties>
</file>